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tables/table1.xml" ContentType="application/vnd.openxmlformats-officedocument.spreadsheetml.table+xml"/>
  <Override PartName="/xl/comments14.xml" ContentType="application/vnd.openxmlformats-officedocument.spreadsheetml.comments+xml"/>
  <Override PartName="/xl/comments12.xml" ContentType="application/vnd.openxmlformats-officedocument.spreadsheetml.comment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comments13.xml" ContentType="application/vnd.openxmlformats-officedocument.spreadsheetml.comments+xml"/>
  <Override PartName="/xl/comments15.xml" ContentType="application/vnd.openxmlformats-officedocument.spreadsheetml.comment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28.xml" ContentType="application/vnd.openxmlformats-officedocument.spreadsheetml.worksheet+xml"/>
  <Override PartName="/xl/worksheets/sheet25.xml" ContentType="application/vnd.openxmlformats-officedocument.spreadsheetml.worksheet+xml"/>
  <Override PartName="/xl/worksheets/sheet13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2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2.xml.rels" ContentType="application/vnd.openxmlformats-package.relationships+xml"/>
  <Override PartName="/xl/worksheets/_rels/sheet29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0"/>
  </bookViews>
  <sheets>
    <sheet name="Mapa ABS" sheetId="1" state="visible" r:id="rId3"/>
    <sheet name="Mapa Grande Rio PA" sheetId="2" state="visible" r:id="rId4"/>
    <sheet name="Mapa Grande Rio AL" sheetId="3" state="visible" r:id="rId5"/>
    <sheet name="Mapa Millenium ES" sheetId="4" state="visible" r:id="rId6"/>
    <sheet name="Mapa Millenium RJ" sheetId="5" state="visible" r:id="rId7"/>
    <sheet name="Mapa Mixfarma" sheetId="6" state="visible" r:id="rId8"/>
    <sheet name="Mapa Aliança" sheetId="7" state="visible" r:id="rId9"/>
    <sheet name="Mapa Ambrósio &amp; Correa" sheetId="8" state="visible" r:id="rId10"/>
    <sheet name="Mapa Sogamax" sheetId="9" state="visible" r:id="rId11"/>
    <sheet name="Mapa Fortes" sheetId="10" state="visible" r:id="rId12"/>
    <sheet name="Mapa Total CE" sheetId="11" state="visible" r:id="rId13"/>
    <sheet name="Mapa Total BA" sheetId="12" state="visible" r:id="rId14"/>
    <sheet name="Mapa Total PI" sheetId="13" state="visible" r:id="rId15"/>
    <sheet name="Mapa Total PE" sheetId="14" state="visible" r:id="rId16"/>
    <sheet name="Mapa Total MA" sheetId="15" state="visible" r:id="rId17"/>
    <sheet name="Mapa Dimebras PR" sheetId="16" state="visible" r:id="rId18"/>
    <sheet name="Mapa Dimebras MT" sheetId="17" state="visible" r:id="rId19"/>
    <sheet name="Mapa Dimebras MS" sheetId="18" state="visible" r:id="rId20"/>
    <sheet name="Mapa Farmaum Natal" sheetId="19" state="visible" r:id="rId21"/>
    <sheet name="Mapa Distribuidora Brasil PB" sheetId="20" state="visible" r:id="rId22"/>
    <sheet name="Mapa Farmix BA" sheetId="21" state="visible" r:id="rId23"/>
    <sheet name="Mapa Farmix MG" sheetId="22" state="visible" r:id="rId24"/>
    <sheet name="Mapa Gauchafarma" sheetId="23" state="visible" r:id="rId25"/>
    <sheet name="Mapa Lucmed" sheetId="24" state="visible" r:id="rId26"/>
    <sheet name="Mapa Divinópolis" sheetId="25" state="visible" r:id="rId27"/>
    <sheet name="Mapa Emis Minas" sheetId="26" state="visible" r:id="rId28"/>
    <sheet name="Mapa G1 Distribuidora" sheetId="27" state="visible" r:id="rId29"/>
    <sheet name="Mapa Araújo" sheetId="28" state="visible" r:id="rId30"/>
    <sheet name="Mapa Riopharma" sheetId="29" state="visible" r:id="rId31"/>
  </sheets>
  <externalReferences>
    <externalReference r:id="rId32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2.xml><?xml version="1.0" encoding="utf-8"?>
<comments xmlns="http://schemas.openxmlformats.org/spreadsheetml/2006/main" xmlns:xdr="http://schemas.openxmlformats.org/drawingml/2006/spreadsheetDrawing">
  <authors>
    <author>OOXML Generator</author>
  </authors>
  <commentList>
    <comment ref="A1" authorId="0">
      <text>
        <r>
          <rPr>
            <sz val="10"/>
            <rFont val="Arial"/>
            <family val="2"/>
          </rPr>
          <t xml:space="preserve">Exibição do Tabela cruzada :
 8052 - QTUNITCX,  8052 - ESTOQUE_DISP,  8052 - PENDENTE,  8052 - ATUAL,  8052 - ANT1,  8052 - ANT2 e  8052 - ANT3 por  Produto,  CODAUXILIAR,  CODFAB e  Marca ProdutoOrdenado por:
PRODUTO #0
Critérios Globais:
 Descrição Filial 7 - TOTAL DIST. DE PROD. FARMACEUTICOS - BA
 Descrição Fornecedor 793667 - LEBON PROD QUIM E FARMACEUTICOS LTDA EPP
 Região TOTAL BA
 UF Filial BA
Critérios locais:
 Fora de Linha Em Linha
 SITUACAOPROD ATIVO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OOXML Generator</author>
  </authors>
  <commentList>
    <comment ref="A1" authorId="0">
      <text>
        <r>
          <rPr>
            <sz val="10"/>
            <rFont val="Arial"/>
            <family val="2"/>
          </rPr>
          <t xml:space="preserve">Exibição do Tabela cruzada :
 8052 - QTUNITCX,  8052 - ESTOQUE_DISP,  8052 - PENDENTE,  8052 - ATUAL,  8052 - ANT1,  8052 - ANT2 e  8052 - ANT3 por  Produto,  CODAUXILIAR,  CODFAB e  Marca ProdutoOrdenado por:
PRODUTO #0
Critérios Globais:
 Descrição Filial 2 - TOTAL DISTRIBUIDORA DE MED LTDA
 Descrição Fornecedor 793667 - LEBON PROD QUIM E FARMACEUTICOS LTDA EPP
 Região PIAUI
 UF Filial PI
Critérios locais:
 Fora de Linha Em Linha
 SITUACAOPROD ATIVO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OOXML Generator</author>
  </authors>
  <commentList>
    <comment ref="A1" authorId="0">
      <text>
        <r>
          <rPr>
            <sz val="10"/>
            <rFont val="Arial"/>
            <family val="2"/>
          </rPr>
          <t xml:space="preserve">Exibição do Tabela cruzada :
 8052 - QTUNITCX,  8052 - ESTOQUE_DISP,  8052 - PENDENTE,  8052 - ATUAL,  8052 - ANT1,  8052 - ANT2 e  8052 - ANT3 por  Descrição Filial,  Produto,  CODAUXILIAR,  CODFAB e  Marca ProdutoOrdenado por:
Descrição Filial #0
Critérios Globais:
 Descrição Filial 8 - DISTRIBUIDORA TOTAL PLUS COMERCIO E REPR, 9 - TOTAL DISTRIBUIDORA DE MEDICAMENTOS PE L
 Descrição Fornecedor 793667 - LEBON PROD QUIM E FARMACEUTICOS LTDA EPP
 Região TOTAL - PE, TOTAL MED PE
 UF Filial PE
Critérios locais:
 Fora de Linha Em Linha
 SITUACAOPROD ATIVO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OOXML Generator</author>
  </authors>
  <commentList>
    <comment ref="A1" authorId="0">
      <text>
        <r>
          <rPr>
            <sz val="10"/>
            <rFont val="Arial"/>
            <family val="2"/>
          </rPr>
          <t xml:space="preserve">Exibição do Tabela cruzada :
 8052 - QTUNITCX,  8052 - ESTOQUE_DISP,  8052 - PENDENTE,  8052 - ATUAL,  8052 - ANT1,  8052 - ANT2 e  8052 - ANT3 por  Produto,  CODAUXILIAR,  CODFAB e  Marca ProdutoOrdenado por:
PRODUTO #0
Critérios Globais:
 Descrição Filial 5 - DIST DE MEDICAMENTOS TOTAL MA LTDA - EPP
 Descrição Fornecedor 793667 - LEBON PROD QUIM E FARMACEUTICOS LTDA EPP
 Região MARANHAO
 UF Filial MA
Critérios locais:
 Fora de Linha Em Linha
 SITUACAOPROD ATIVO</t>
        </r>
      </text>
    </comment>
  </commentList>
</comments>
</file>

<file path=xl/sharedStrings.xml><?xml version="1.0" encoding="utf-8"?>
<sst xmlns="http://schemas.openxmlformats.org/spreadsheetml/2006/main" count="1128" uniqueCount="386">
  <si>
    <t xml:space="preserve">FILIAL</t>
  </si>
  <si>
    <t xml:space="preserve">CÓD</t>
  </si>
  <si>
    <t xml:space="preserve">PRODUTO</t>
  </si>
  <si>
    <t xml:space="preserve">FISICO</t>
  </si>
  <si>
    <t xml:space="preserve">BLOQ</t>
  </si>
  <si>
    <t xml:space="preserve">RESERV</t>
  </si>
  <si>
    <t xml:space="preserve">DISP</t>
  </si>
  <si>
    <t xml:space="preserve">PEND</t>
  </si>
  <si>
    <t xml:space="preserve">JUNHO</t>
  </si>
  <si>
    <t xml:space="preserve">MAIO</t>
  </si>
  <si>
    <t xml:space="preserve">ABRIL</t>
  </si>
  <si>
    <t xml:space="preserve">MARÇO</t>
  </si>
  <si>
    <t xml:space="preserve">DATA ENTRADA</t>
  </si>
  <si>
    <t xml:space="preserve">EAN</t>
  </si>
  <si>
    <t xml:space="preserve">MARCA</t>
  </si>
  <si>
    <t xml:space="preserve">DEPARTAMENTO</t>
  </si>
  <si>
    <t xml:space="preserve">COLIRIO HYADROP PROTECT 10ML LEBON</t>
  </si>
  <si>
    <t xml:space="preserve">0</t>
  </si>
  <si>
    <t xml:space="preserve">07/05/2025</t>
  </si>
  <si>
    <t xml:space="preserve">LEBON</t>
  </si>
  <si>
    <t xml:space="preserve">MEDICAMENTO</t>
  </si>
  <si>
    <t xml:space="preserve">COLIRIO HYADROP 10ML LEBON</t>
  </si>
  <si>
    <t xml:space="preserve">COLIRIO LACRIVISION 10ML LEBON</t>
  </si>
  <si>
    <t xml:space="preserve">COLIRIO SUPRILAG UL 10ML LEBON</t>
  </si>
  <si>
    <t xml:space="preserve">COLIRIO SUPRILAG UL 15ML LEBON</t>
  </si>
  <si>
    <t xml:space="preserve">17/07/2023</t>
  </si>
  <si>
    <t xml:space="preserve">KIT TREA LENTS 120ML + 360ML LEBON</t>
  </si>
  <si>
    <t xml:space="preserve">COSMÉTICO</t>
  </si>
  <si>
    <t xml:space="preserve">26/04/2024</t>
  </si>
  <si>
    <t xml:space="preserve">07/08/2023</t>
  </si>
  <si>
    <t xml:space="preserve">17/04/2025</t>
  </si>
  <si>
    <t xml:space="preserve">15/08/2024</t>
  </si>
  <si>
    <t xml:space="preserve">Fornecedor - Identificação</t>
  </si>
  <si>
    <t xml:space="preserve">Produto - Identificação</t>
  </si>
  <si>
    <t xml:space="preserve">Vendas Mensal</t>
  </si>
  <si>
    <t xml:space="preserve">Estoque</t>
  </si>
  <si>
    <t xml:space="preserve">Código fornecedor</t>
  </si>
  <si>
    <t xml:space="preserve">Laboratório</t>
  </si>
  <si>
    <t xml:space="preserve">Código</t>
  </si>
  <si>
    <t xml:space="preserve">Cod Referência</t>
  </si>
  <si>
    <t xml:space="preserve">Cx Padrão</t>
  </si>
  <si>
    <t xml:space="preserve">Produto</t>
  </si>
  <si>
    <t xml:space="preserve">03-2025</t>
  </si>
  <si>
    <t xml:space="preserve">04-2025</t>
  </si>
  <si>
    <t xml:space="preserve">05-2025</t>
  </si>
  <si>
    <t xml:space="preserve">06-2025</t>
  </si>
  <si>
    <t xml:space="preserve">Estoque Millenium</t>
  </si>
  <si>
    <t xml:space="preserve">Média de Vendas</t>
  </si>
  <si>
    <t xml:space="preserve">Dias de Estoque</t>
  </si>
  <si>
    <t xml:space="preserve">Curva ABC</t>
  </si>
  <si>
    <t xml:space="preserve">900846</t>
  </si>
  <si>
    <t xml:space="preserve">HYADROP 0,15% 10ML SOL OFTAL HIALURONATO DE SODIO LEBON</t>
  </si>
  <si>
    <t xml:space="preserve">400946</t>
  </si>
  <si>
    <t xml:space="preserve">HYADROP PROTECT  0,15% 10ML HIALURONATO DE SODIO LEBON</t>
  </si>
  <si>
    <t xml:space="preserve">400746</t>
  </si>
  <si>
    <t xml:space="preserve">LACRIVISION 5MG/ML 10ML SOL OFTAL LEBON</t>
  </si>
  <si>
    <t xml:space="preserve">900746</t>
  </si>
  <si>
    <t xml:space="preserve">SUPRILAG UL 10ML SOL OFTAL LEBON</t>
  </si>
  <si>
    <t xml:space="preserve">900747</t>
  </si>
  <si>
    <t xml:space="preserve">SUPRILAG UL 15ML SOL OFTAL LEBON</t>
  </si>
  <si>
    <t xml:space="preserve">1000350</t>
  </si>
  <si>
    <t xml:space="preserve">TREA LENS KIT 360+120ML SOLUCAO PARA LENTES DE CONTATO LEBON</t>
  </si>
  <si>
    <t xml:space="preserve">B</t>
  </si>
  <si>
    <t xml:space="preserve">C</t>
  </si>
  <si>
    <t xml:space="preserve">A</t>
  </si>
  <si>
    <t xml:space="preserve">Descrição</t>
  </si>
  <si>
    <t xml:space="preserve">Curva</t>
  </si>
  <si>
    <t xml:space="preserve">UFO</t>
  </si>
  <si>
    <t xml:space="preserve">MAR/25</t>
  </si>
  <si>
    <t xml:space="preserve">ABR/25</t>
  </si>
  <si>
    <t xml:space="preserve">MAI/25</t>
  </si>
  <si>
    <t xml:space="preserve">JUN/25</t>
  </si>
  <si>
    <t xml:space="preserve">Média</t>
  </si>
  <si>
    <t xml:space="preserve">Est.Até</t>
  </si>
  <si>
    <t xml:space="preserve">Ult.Ent.</t>
  </si>
  <si>
    <t xml:space="preserve">HYADROP 10 ML - LUBRIF. OFTALMICO                                                         </t>
  </si>
  <si>
    <t xml:space="preserve">D/E</t>
  </si>
  <si>
    <t xml:space="preserve">08/08/2025</t>
  </si>
  <si>
    <t xml:space="preserve">29/05/2025</t>
  </si>
  <si>
    <t xml:space="preserve">HYADROP PROTECT 10 ML - LUBRIF. OFTALMICO                                                 </t>
  </si>
  <si>
    <t xml:space="preserve">E/E</t>
  </si>
  <si>
    <t xml:space="preserve">06/06/2027</t>
  </si>
  <si>
    <t xml:space="preserve">30/04/2025</t>
  </si>
  <si>
    <t xml:space="preserve">LACRIVISION 10 ML - LUBRIF. OFTALMICO                                                     </t>
  </si>
  <si>
    <t xml:space="preserve">18/07/2025</t>
  </si>
  <si>
    <t xml:space="preserve">SUPRILAG UL 10 ML - LUBRIF. OFTALMICO                                                     </t>
  </si>
  <si>
    <t xml:space="preserve">13/08/2025</t>
  </si>
  <si>
    <t xml:space="preserve">TREALENS KIT 360 + 120 ML - LUBRIF. OFTALMICO                                             </t>
  </si>
  <si>
    <t xml:space="preserve">02/08/2025</t>
  </si>
  <si>
    <t xml:space="preserve">Totais do fornecedor......</t>
  </si>
  <si>
    <t xml:space="preserve">  FORNECEDOR:LEBON FARMA</t>
  </si>
  <si>
    <t xml:space="preserve">24/07/2025</t>
  </si>
  <si>
    <t xml:space="preserve">30/05/2025</t>
  </si>
  <si>
    <t xml:space="preserve">10/04/2029</t>
  </si>
  <si>
    <t xml:space="preserve">28/04/2025</t>
  </si>
  <si>
    <t xml:space="preserve">D/D</t>
  </si>
  <si>
    <t xml:space="preserve">17/07/2025</t>
  </si>
  <si>
    <t xml:space="preserve">11/07/2025</t>
  </si>
  <si>
    <t xml:space="preserve">19/06/2025</t>
  </si>
  <si>
    <t xml:space="preserve">ID</t>
  </si>
  <si>
    <t xml:space="preserve">DESCRIÇÃO</t>
  </si>
  <si>
    <t xml:space="preserve">MARCA </t>
  </si>
  <si>
    <t xml:space="preserve">ESTOQUE    CD 02.06.2025</t>
  </si>
  <si>
    <t xml:space="preserve">TRÂNSITO</t>
  </si>
  <si>
    <t xml:space="preserve">VB JUNHO 2025</t>
  </si>
  <si>
    <t xml:space="preserve">VB UNIDADE </t>
  </si>
  <si>
    <t xml:space="preserve">HYADROP LUBRIFICANTE SOL OFT C/10ML</t>
  </si>
  <si>
    <t xml:space="preserve">LEBON FARMA</t>
  </si>
  <si>
    <t xml:space="preserve">HYADROP LUBRIFICANTE PROTECT 0,15% SOL OFT C/10ML</t>
  </si>
  <si>
    <t xml:space="preserve">LACRIVISION 5MG/ML LUBRIFACANTE SOL OFT C/10ML</t>
  </si>
  <si>
    <t xml:space="preserve">SUPRILAG UL LUBRIFACANTE SOL OFT C/10ML</t>
  </si>
  <si>
    <t xml:space="preserve">TREA LENS LUBRIFACANTE SOL OFT KIT C/360 + 120ML</t>
  </si>
  <si>
    <t xml:space="preserve">                                                 MAPA ESTOQUE X SELL OUT </t>
  </si>
  <si>
    <t xml:space="preserve">VB JANEIRO 2025</t>
  </si>
  <si>
    <t xml:space="preserve">VB FEVEREIRO 2025</t>
  </si>
  <si>
    <t xml:space="preserve">VB MARÇO 2025</t>
  </si>
  <si>
    <t xml:space="preserve">VB ABRIL 2025</t>
  </si>
  <si>
    <t xml:space="preserve">VB MAIO 2025</t>
  </si>
  <si>
    <t xml:space="preserve">VB VALOR </t>
  </si>
  <si>
    <t xml:space="preserve">Laboratório: Lebon</t>
  </si>
  <si>
    <t xml:space="preserve">Gerado em: 16/06/2025, 08:20</t>
  </si>
  <si>
    <t xml:space="preserve">Cód.</t>
  </si>
  <si>
    <t xml:space="preserve">Status</t>
  </si>
  <si>
    <t xml:space="preserve">Cod.Fabrica</t>
  </si>
  <si>
    <t xml:space="preserve">Cod.EAN</t>
  </si>
  <si>
    <t xml:space="preserve">Embl.</t>
  </si>
  <si>
    <t xml:space="preserve">Dt.Ult.Ent.</t>
  </si>
  <si>
    <t xml:space="preserve">Qt.Ult.Ent.</t>
  </si>
  <si>
    <t xml:space="preserve">Qt.Est.Dsp.</t>
  </si>
  <si>
    <t xml:space="preserve">Pendente</t>
  </si>
  <si>
    <t xml:space="preserve">Mar</t>
  </si>
  <si>
    <t xml:space="preserve">Abr</t>
  </si>
  <si>
    <t xml:space="preserve">Mai</t>
  </si>
  <si>
    <t xml:space="preserve">Jun</t>
  </si>
  <si>
    <t xml:space="preserve">HYADROP HIALURONATO 0,15% LUF OFT 10 ML</t>
  </si>
  <si>
    <t xml:space="preserve">N</t>
  </si>
  <si>
    <t xml:space="preserve">HYADROP PROTECT AC HIAL 0,15% SC 10 ML</t>
  </si>
  <si>
    <t xml:space="preserve">KIT TREALENS SOL OFT MULTIUSO 360+120ML</t>
  </si>
  <si>
    <t xml:space="preserve">LACRIVISION CARMELOSE SOL OFT 10ML</t>
  </si>
  <si>
    <t xml:space="preserve">SUPRILAG UL SOL LUBRIF OFT 10 ML</t>
  </si>
  <si>
    <t xml:space="preserve">SUPRILAG UL SOL LUBRIF OFT 15 ML</t>
  </si>
  <si>
    <t xml:space="preserve">Subtotal</t>
  </si>
  <si>
    <t xml:space="preserve">VlPrCompra</t>
  </si>
  <si>
    <t xml:space="preserve">7.377</t>
  </si>
  <si>
    <t xml:space="preserve">300</t>
  </si>
  <si>
    <t xml:space="preserve">1.536</t>
  </si>
  <si>
    <t xml:space="preserve">2.774</t>
  </si>
  <si>
    <t xml:space="preserve">2.823</t>
  </si>
  <si>
    <t xml:space="preserve">1.110</t>
  </si>
  <si>
    <t xml:space="preserve">CODFAB</t>
  </si>
  <si>
    <t xml:space="preserve">CX PADRÃO</t>
  </si>
  <si>
    <t xml:space="preserve">ESTOQUE DISPONÍVEL</t>
  </si>
  <si>
    <t xml:space="preserve">PENDENTE</t>
  </si>
  <si>
    <t xml:space="preserve">Junho</t>
  </si>
  <si>
    <t xml:space="preserve">Maio</t>
  </si>
  <si>
    <t xml:space="preserve">Abril</t>
  </si>
  <si>
    <t xml:space="preserve">Março</t>
  </si>
  <si>
    <t xml:space="preserve">HYADROP LUB OFT 10ML</t>
  </si>
  <si>
    <t xml:space="preserve">7898902180998</t>
  </si>
  <si>
    <t xml:space="preserve">HYADROP PROTECT 10ML</t>
  </si>
  <si>
    <t xml:space="preserve">7898902180387</t>
  </si>
  <si>
    <t xml:space="preserve">LACRIVISION 5MG/ML 10ML SOL OFT</t>
  </si>
  <si>
    <t xml:space="preserve">7898902180134</t>
  </si>
  <si>
    <t xml:space="preserve">NUTRIVISC 105MG/5ML(G)</t>
  </si>
  <si>
    <t xml:space="preserve">7898902180882</t>
  </si>
  <si>
    <t xml:space="preserve">900506</t>
  </si>
  <si>
    <t xml:space="preserve">NUTRIVISC 42MG/2 ML(G)</t>
  </si>
  <si>
    <t xml:space="preserve">7898902180844</t>
  </si>
  <si>
    <t xml:space="preserve">900206</t>
  </si>
  <si>
    <t xml:space="preserve">SUPRILAG LUB OFT 10ML</t>
  </si>
  <si>
    <t xml:space="preserve">7898902180745</t>
  </si>
  <si>
    <t xml:space="preserve">SUPRILAG LUB OFT 15ML</t>
  </si>
  <si>
    <t xml:space="preserve">7898902180752</t>
  </si>
  <si>
    <t xml:space="preserve">TREALENS KIT SOL LENTES 120ML+360ML</t>
  </si>
  <si>
    <t xml:space="preserve">7898902180981</t>
  </si>
  <si>
    <t xml:space="preserve">Descrição Filial</t>
  </si>
  <si>
    <t xml:space="preserve">8 - DISTRIBUIDORA TOTAL PLUS COMERCIO E REPR</t>
  </si>
  <si>
    <t xml:space="preserve">9 - TOTAL DISTRIBUIDORA DE MEDICAMENTOS PE L</t>
  </si>
  <si>
    <t xml:space="preserve">fabricante</t>
  </si>
  <si>
    <t xml:space="preserve">codigo</t>
  </si>
  <si>
    <t xml:space="preserve">ean</t>
  </si>
  <si>
    <t xml:space="preserve">descricao</t>
  </si>
  <si>
    <t xml:space="preserve">saldo</t>
  </si>
  <si>
    <t xml:space="preserve">jan-qtde</t>
  </si>
  <si>
    <t xml:space="preserve">fev-qtde</t>
  </si>
  <si>
    <t xml:space="preserve">mar-qtde</t>
  </si>
  <si>
    <t xml:space="preserve">abr-qtde</t>
  </si>
  <si>
    <t xml:space="preserve">mai-qtde</t>
  </si>
  <si>
    <t xml:space="preserve">jun-qtde</t>
  </si>
  <si>
    <t xml:space="preserve">vc-lote-1</t>
  </si>
  <si>
    <t xml:space="preserve">vc-lote-2</t>
  </si>
  <si>
    <t xml:space="preserve">SOLUCAO LENTES TREALENS 480ML</t>
  </si>
  <si>
    <t xml:space="preserve">COLIRIO SUPRILAG UL 10ML</t>
  </si>
  <si>
    <t xml:space="preserve">COLIRIO SUPRILAG UL 15ML</t>
  </si>
  <si>
    <t xml:space="preserve">-</t>
  </si>
  <si>
    <t xml:space="preserve">/</t>
  </si>
  <si>
    <t xml:space="preserve">COLIRIO HYADROP 0,15% 10ML</t>
  </si>
  <si>
    <t xml:space="preserve">COLIRIO LACRIVISION 5MG/ML 10ML</t>
  </si>
  <si>
    <t xml:space="preserve">COL SUPRILAG UL 10ML</t>
  </si>
  <si>
    <t xml:space="preserve">COL SUPRILAG UL 15ML</t>
  </si>
  <si>
    <t xml:space="preserve">HYADROP 0,15% 10ML SOL OFT</t>
  </si>
  <si>
    <t xml:space="preserve">COL LACRIVISION 5MG/ML 10ML</t>
  </si>
  <si>
    <t xml:space="preserve">DISTRIBUIDORA</t>
  </si>
  <si>
    <t xml:space="preserve">CODIGO</t>
  </si>
  <si>
    <t xml:space="preserve">CODIGO FABRICA</t>
  </si>
  <si>
    <t xml:space="preserve">ESTOQUE DISP</t>
  </si>
  <si>
    <t xml:space="preserve"> JUNHO</t>
  </si>
  <si>
    <t xml:space="preserve"> MAIO</t>
  </si>
  <si>
    <t xml:space="preserve"> ABRIL</t>
  </si>
  <si>
    <t xml:space="preserve"> MARÇO</t>
  </si>
  <si>
    <t xml:space="preserve">DTULTENT</t>
  </si>
  <si>
    <t xml:space="preserve">FARMAUM RN</t>
  </si>
  <si>
    <t xml:space="preserve">KIT TREA LENS FRASCO 360ML+120ML LEBON</t>
  </si>
  <si>
    <t xml:space="preserve">28/05/2025</t>
  </si>
  <si>
    <t xml:space="preserve">426 - LEBON COSMETICOS</t>
  </si>
  <si>
    <t xml:space="preserve">SUPRILAG (LUB OFT) UL 10ML</t>
  </si>
  <si>
    <t xml:space="preserve">425 - LEBON</t>
  </si>
  <si>
    <t xml:space="preserve">SUPRILAG (LUB OFT) UL 15ML</t>
  </si>
  <si>
    <t xml:space="preserve">19/02/2024</t>
  </si>
  <si>
    <t xml:space="preserve">HYADROP (HIALUR SODIO) LUB OFT ESTE 10ML</t>
  </si>
  <si>
    <t xml:space="preserve">LACRIVISION (CARMELOSE) SOL OFT 10 ML</t>
  </si>
  <si>
    <t xml:space="preserve">HYADROP PROTECT(HIAL SODIO) LUB OFT 10ML</t>
  </si>
  <si>
    <t xml:space="preserve">16/04/2025</t>
  </si>
  <si>
    <t xml:space="preserve">BRASIL</t>
  </si>
  <si>
    <t xml:space="preserve">FARMAUM PB</t>
  </si>
  <si>
    <t xml:space="preserve">15/05/2025</t>
  </si>
  <si>
    <t xml:space="preserve">03/06/2025</t>
  </si>
  <si>
    <t xml:space="preserve">30/07/2024</t>
  </si>
  <si>
    <t xml:space="preserve">14/04/2025</t>
  </si>
  <si>
    <t xml:space="preserve">CODPROD</t>
  </si>
  <si>
    <t xml:space="preserve">FORNECEDOR</t>
  </si>
  <si>
    <t xml:space="preserve">DESCRICAO</t>
  </si>
  <si>
    <t xml:space="preserve">Ult. Entrada</t>
  </si>
  <si>
    <t xml:space="preserve">Und. Jun</t>
  </si>
  <si>
    <t xml:space="preserve">Und. Maio</t>
  </si>
  <si>
    <t xml:space="preserve">Und. Abril</t>
  </si>
  <si>
    <t xml:space="preserve">Und. Março</t>
  </si>
  <si>
    <t xml:space="preserve">Dias corridos</t>
  </si>
  <si>
    <t xml:space="preserve">Dias úteis</t>
  </si>
  <si>
    <t xml:space="preserve">MédiaSE &lt;&gt;0</t>
  </si>
  <si>
    <t xml:space="preserve">Desvio Padrão</t>
  </si>
  <si>
    <t xml:space="preserve">Variação</t>
  </si>
  <si>
    <t xml:space="preserve">Mês</t>
  </si>
  <si>
    <t xml:space="preserve">DIAS</t>
  </si>
  <si>
    <t xml:space="preserve">COD FAB</t>
  </si>
  <si>
    <t xml:space="preserve">Cod</t>
  </si>
  <si>
    <t xml:space="preserve">Fornec</t>
  </si>
  <si>
    <t xml:space="preserve">Ativo</t>
  </si>
  <si>
    <t xml:space="preserve">Linha</t>
  </si>
  <si>
    <t xml:space="preserve">Dep</t>
  </si>
  <si>
    <t xml:space="preserve">Seção</t>
  </si>
  <si>
    <t xml:space="preserve">OBS2</t>
  </si>
  <si>
    <t xml:space="preserve">Master</t>
  </si>
  <si>
    <t xml:space="preserve">Dt Ult. Ent.</t>
  </si>
  <si>
    <t xml:space="preserve">Qt. Ult. Ent.</t>
  </si>
  <si>
    <t xml:space="preserve">SUPRILAG UL 10ML LEBON</t>
  </si>
  <si>
    <t xml:space="preserve">LEBON PRODUTOS QUIMICOS FARMACEUTICOS LTDA</t>
  </si>
  <si>
    <t xml:space="preserve">OUTROS</t>
  </si>
  <si>
    <t xml:space="preserve">MEDICAMENTOS</t>
  </si>
  <si>
    <t xml:space="preserve">SIMILAR</t>
  </si>
  <si>
    <t xml:space="preserve">HYADROP 10 ML LEBON</t>
  </si>
  <si>
    <t xml:space="preserve">TREALENS KIT LENTE (120ML+360ML)</t>
  </si>
  <si>
    <t xml:space="preserve">SOLUCAO PARA LENTE DE CONTATO</t>
  </si>
  <si>
    <t xml:space="preserve">USO CONTÍNUO</t>
  </si>
  <si>
    <t xml:space="preserve">LACRIVISION 5MG FR C/10ML (-) LEBON</t>
  </si>
  <si>
    <t xml:space="preserve">SUPRILAG UL 15ML LEBON</t>
  </si>
  <si>
    <t xml:space="preserve">HYADROP PROTECT 0,15% 10ML (-) LEBON</t>
  </si>
  <si>
    <t xml:space="preserve">HIALURONATO DE SÓDIO</t>
  </si>
  <si>
    <t xml:space="preserve">Cod Prod</t>
  </si>
  <si>
    <t xml:space="preserve">Cod Fabrica</t>
  </si>
  <si>
    <t xml:space="preserve">Demanda Jun/25</t>
  </si>
  <si>
    <t xml:space="preserve">Demanda Mai/25</t>
  </si>
  <si>
    <t xml:space="preserve">Demanda Abr/25</t>
  </si>
  <si>
    <t xml:space="preserve">Demanda Mar/25</t>
  </si>
  <si>
    <t xml:space="preserve">BRINDE DISPLAY MIX LEBON</t>
  </si>
  <si>
    <t xml:space="preserve">COLIRIO SUPRILAG 10ML LEBON</t>
  </si>
  <si>
    <t xml:space="preserve">COLIRIO SUPRILAG 15ML LEBON</t>
  </si>
  <si>
    <t xml:space="preserve">TREALENS 120ML+360ML LEBON( SOL LIMP LEN</t>
  </si>
  <si>
    <t xml:space="preserve">COD</t>
  </si>
  <si>
    <t xml:space="preserve">ESTOQUE</t>
  </si>
  <si>
    <t xml:space="preserve">Posit</t>
  </si>
  <si>
    <t xml:space="preserve">QTD</t>
  </si>
  <si>
    <t xml:space="preserve">Vendas</t>
  </si>
  <si>
    <t xml:space="preserve">8317</t>
  </si>
  <si>
    <t xml:space="preserve">HYADROP PROTECT 10 ML SEM CONSERVANTES</t>
  </si>
  <si>
    <t xml:space="preserve">16</t>
  </si>
  <si>
    <t xml:space="preserve">18</t>
  </si>
  <si>
    <t xml:space="preserve">8072</t>
  </si>
  <si>
    <t xml:space="preserve">TREALENS KIT 360ML +120ML GRATIS PARA LENTES</t>
  </si>
  <si>
    <t xml:space="preserve">23</t>
  </si>
  <si>
    <t xml:space="preserve">34</t>
  </si>
  <si>
    <t xml:space="preserve">8075</t>
  </si>
  <si>
    <t xml:space="preserve">HYADROP 10 ML  LUBRIFICANTE OFTALMICO ESTERIL</t>
  </si>
  <si>
    <t xml:space="preserve">37</t>
  </si>
  <si>
    <t xml:space="preserve">17</t>
  </si>
  <si>
    <t xml:space="preserve">8074</t>
  </si>
  <si>
    <t xml:space="preserve">LACRIVISION 10 ML FRASCO 10 ML CARMELOSE SODICA 5MG/ML</t>
  </si>
  <si>
    <t xml:space="preserve">42</t>
  </si>
  <si>
    <t xml:space="preserve">13</t>
  </si>
  <si>
    <t xml:space="preserve">8073</t>
  </si>
  <si>
    <t xml:space="preserve">SUPRILAG UL 10 ML LUBRIFICANTE OFTALMICO</t>
  </si>
  <si>
    <t xml:space="preserve">22</t>
  </si>
  <si>
    <t xml:space="preserve">(00005)       ***TOTAL GERAL****</t>
  </si>
  <si>
    <t xml:space="preserve">Codigo_Barra</t>
  </si>
  <si>
    <t xml:space="preserve">Quantidade</t>
  </si>
  <si>
    <t xml:space="preserve">LACRIVISION 5MG/ML SOL OFT ESTERIL C/ 10ML</t>
  </si>
  <si>
    <t xml:space="preserve">5321</t>
  </si>
  <si>
    <t xml:space="preserve">HYADROP PROTECT 0,15% LUB OFT ESTERIL C/ 10ML</t>
  </si>
  <si>
    <t xml:space="preserve">1156</t>
  </si>
  <si>
    <t xml:space="preserve">SUPRILAG UL LUB OFT ESTERIL C/ 10ML</t>
  </si>
  <si>
    <t xml:space="preserve">1478</t>
  </si>
  <si>
    <t xml:space="preserve">TREALENS 360ML+120ML C/ESTOJO P/LENTES</t>
  </si>
  <si>
    <t xml:space="preserve">905</t>
  </si>
  <si>
    <t xml:space="preserve">HYADROP 0,15% LUB OFT ESTERIL C/ 10ML</t>
  </si>
  <si>
    <t xml:space="preserve">1790</t>
  </si>
  <si>
    <t xml:space="preserve">Totais</t>
  </si>
  <si>
    <t xml:space="preserve">Grupo_Produto</t>
  </si>
  <si>
    <t xml:space="preserve">HYADROP 0,15% 10ML</t>
  </si>
  <si>
    <t xml:space="preserve">HYADROP PROTECT 0,15% 10ML</t>
  </si>
  <si>
    <t xml:space="preserve">LACRIVISION 5MG/ML 10ML</t>
  </si>
  <si>
    <t xml:space="preserve">SUPRILAG UL SOL OFT 10ML</t>
  </si>
  <si>
    <t xml:space="preserve">TREALENS KIT LENTE CONTATO 360ML+120ML</t>
  </si>
  <si>
    <t xml:space="preserve"> </t>
  </si>
  <si>
    <t xml:space="preserve">Ult. P. compra</t>
  </si>
  <si>
    <t xml:space="preserve">Qt. CX</t>
  </si>
  <si>
    <t xml:space="preserve">IPI%</t>
  </si>
  <si>
    <t xml:space="preserve">Última entrada</t>
  </si>
  <si>
    <t xml:space="preserve">Quantidade venda</t>
  </si>
  <si>
    <t xml:space="preserve">Pedidos</t>
  </si>
  <si>
    <t xml:space="preserve">Sugestão</t>
  </si>
  <si>
    <t xml:space="preserve">Custo</t>
  </si>
  <si>
    <t xml:space="preserve">Qtde</t>
  </si>
  <si>
    <t xml:space="preserve">Data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</si>
  <si>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</si>
  <si>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</si>
  <si>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</si>
  <si>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</si>
  <si>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</si>
  <si>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Disponivel</t>
  </si>
  <si>
    <t xml:space="preserve">Pendentes (compra)</t>
  </si>
  <si>
    <t xml:space="preserve">Compra</t>
  </si>
  <si>
    <t xml:space="preserve">1</t>
  </si>
  <si>
    <t xml:space="preserve">COLIRIO HYADROP C/10ML HIALURONATO SODIO</t>
  </si>
  <si>
    <t xml:space="preserve">COLIRIO LACRIVISION C/10ML CARMELOSE</t>
  </si>
  <si>
    <t xml:space="preserve">COLIRIO SUPRILAG UL C/10ML CARMELOSE</t>
  </si>
  <si>
    <t xml:space="preserve">COLIRIO SUPRILAG UL C/15ML CARMELOSE</t>
  </si>
  <si>
    <t xml:space="preserve">2</t>
  </si>
  <si>
    <t xml:space="preserve">*TREALENS SOL MULTIUSO KIT 360ML+120ML</t>
  </si>
  <si>
    <t xml:space="preserve">Ano</t>
  </si>
  <si>
    <t xml:space="preserve">Núm Mês</t>
  </si>
  <si>
    <t xml:space="preserve">2025</t>
  </si>
  <si>
    <t xml:space="preserve">Situação Atual</t>
  </si>
  <si>
    <t xml:space="preserve">Curva ABC Detalhada Atual</t>
  </si>
  <si>
    <t xml:space="preserve">Cód Produto DV</t>
  </si>
  <si>
    <t xml:space="preserve">Cód Barra Venda</t>
  </si>
  <si>
    <t xml:space="preserve">3</t>
  </si>
  <si>
    <t xml:space="preserve">4</t>
  </si>
  <si>
    <t xml:space="preserve">5</t>
  </si>
  <si>
    <t xml:space="preserve">LOJAS</t>
  </si>
  <si>
    <t xml:space="preserve">CD M. ANTONIO ARAUJO</t>
  </si>
  <si>
    <t xml:space="preserve">Total Geral</t>
  </si>
  <si>
    <t xml:space="preserve">TREA LENS SOL LENT CONT360MLGR120</t>
  </si>
  <si>
    <t xml:space="preserve">B1</t>
  </si>
  <si>
    <t xml:space="preserve">98450-7</t>
  </si>
  <si>
    <t xml:space="preserve">07898902180981</t>
  </si>
  <si>
    <t xml:space="preserve">HYADROP SOL OFTALMICA 0,15% 10ML</t>
  </si>
  <si>
    <t xml:space="preserve">B2</t>
  </si>
  <si>
    <t xml:space="preserve">98451-5</t>
  </si>
  <si>
    <t xml:space="preserve">07898902180998</t>
  </si>
  <si>
    <t xml:space="preserve">SUPRILAG UL SOL OFTALM LUBRIF 10ML</t>
  </si>
  <si>
    <t xml:space="preserve">C3</t>
  </si>
  <si>
    <t xml:space="preserve">98452-3</t>
  </si>
  <si>
    <t xml:space="preserve">07898902180745</t>
  </si>
  <si>
    <t xml:space="preserve">LACRIVISION SOL OFTALMICA 10ML</t>
  </si>
  <si>
    <t xml:space="preserve">B3</t>
  </si>
  <si>
    <t xml:space="preserve">100580-4</t>
  </si>
  <si>
    <t xml:space="preserve">07898902180134</t>
  </si>
  <si>
    <t xml:space="preserve">HYADROP PROTECT 0,15% LUB OFT 10ML</t>
  </si>
  <si>
    <t xml:space="preserve">105867-3</t>
  </si>
  <si>
    <t xml:space="preserve">07898902180387</t>
  </si>
  <si>
    <t xml:space="preserve">Projeção</t>
  </si>
  <si>
    <t xml:space="preserve">Qt. Pedida</t>
  </si>
  <si>
    <t xml:space="preserve">FARMIX Média Trim - UNID</t>
  </si>
  <si>
    <t xml:space="preserve">CURVA IQVIA</t>
  </si>
  <si>
    <t xml:space="preserve">MERCADO Média Trim - UNID IQVIA</t>
  </si>
  <si>
    <t xml:space="preserve">% Particip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</si>
</sst>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0"/>
    <numFmt numFmtId="166" formatCode="###,###,##0"/>
    <numFmt numFmtId="167" formatCode="@"/>
    <numFmt numFmtId="168" formatCode="_-* #,##0.00_-;\-* #,##0.00_-;_-* \-??_-;_-@_-"/>
    <numFmt numFmtId="169" formatCode="m/d/yyyy"/>
    <numFmt numFmtId="170" formatCode="#,##0"/>
    <numFmt numFmtId="171" formatCode="#,##0_);\(#,##0\)"/>
    <numFmt numFmtId="172" formatCode="mmm\-yy"/>
    <numFmt numFmtId="173" formatCode="&quot;Hoje &quot;dd/mm/yyyy"/>
    <numFmt numFmtId="174" formatCode="&quot;Projeção R$&quot;#,##0.00"/>
    <numFmt numFmtId="175" formatCode="mmm/yy&quot; Unid&quot;"/>
    <numFmt numFmtId="176" formatCode="0.0"/>
    <numFmt numFmtId="177" formatCode="0%"/>
    <numFmt numFmtId="178" formatCode="_-[$R$-416]\ * #,##0.00_-;\-[$R$-416]\ * #,##0.00_-;_-[$R$-416]\ * \-??_-;_-@_-"/>
    <numFmt numFmtId="179" formatCode="##,##0.00"/>
    <numFmt numFmtId="180" formatCode="#,##0.00"/>
    <numFmt numFmtId="181" formatCode="#,##0."/>
    <numFmt numFmtId="182" formatCode="dd/mm/yy"/>
    <numFmt numFmtId="183" formatCode="#,###"/>
    <numFmt numFmtId="184" formatCode="0.00%"/>
    <numFmt numFmtId="185" formatCode="0.0%"/>
  </numFmts>
  <fonts count="4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theme="0"/>
      <name val="Arial Narrow"/>
      <family val="2"/>
      <charset val="1"/>
    </font>
    <font>
      <sz val="10"/>
      <color theme="1"/>
      <name val="Arial Narrow"/>
      <family val="2"/>
      <charset val="1"/>
    </font>
    <font>
      <b val="true"/>
      <sz val="10"/>
      <color theme="1"/>
      <name val="Arial Narrow"/>
      <family val="2"/>
      <charset val="1"/>
    </font>
    <font>
      <b val="true"/>
      <sz val="10"/>
      <color rgb="FFFFFFFF"/>
      <name val="Arial Narrow"/>
      <family val="2"/>
      <charset val="1"/>
    </font>
    <font>
      <b val="true"/>
      <sz val="10"/>
      <name val="Arial Narrow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theme="0"/>
      <name val="Aptos Display"/>
      <family val="2"/>
      <charset val="1"/>
    </font>
    <font>
      <sz val="10"/>
      <color theme="1"/>
      <name val="Aptos Display"/>
      <family val="2"/>
      <charset val="1"/>
    </font>
    <font>
      <b val="true"/>
      <sz val="36"/>
      <color theme="1"/>
      <name val="Aptos Display"/>
      <family val="2"/>
      <charset val="1"/>
    </font>
    <font>
      <b val="true"/>
      <sz val="14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FFFFFF"/>
      <name val="Segoe UI"/>
      <family val="2"/>
      <charset val="1"/>
    </font>
    <font>
      <sz val="9"/>
      <color rgb="FF000000"/>
      <name val="Segoe UI"/>
      <family val="2"/>
      <charset val="1"/>
    </font>
    <font>
      <sz val="10"/>
      <name val="Arial"/>
      <family val="2"/>
    </font>
    <font>
      <b val="true"/>
      <sz val="11"/>
      <color rgb="FFFFFFFF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1"/>
      <color rgb="FFFFFFFF"/>
      <name val="Calibri"/>
      <family val="2"/>
      <charset val="1"/>
    </font>
    <font>
      <sz val="8"/>
      <color theme="0"/>
      <name val="Tahoma"/>
      <family val="2"/>
      <charset val="1"/>
    </font>
    <font>
      <b val="true"/>
      <sz val="8"/>
      <color theme="0"/>
      <name val="Tahoma"/>
      <family val="2"/>
      <charset val="1"/>
    </font>
    <font>
      <sz val="8"/>
      <color rgb="FF000000"/>
      <name val="Tahoma"/>
      <family val="2"/>
      <charset val="1"/>
    </font>
    <font>
      <b val="true"/>
      <sz val="8"/>
      <color rgb="FF000000"/>
      <name val="Tahoma"/>
      <family val="2"/>
      <charset val="1"/>
    </font>
    <font>
      <b val="true"/>
      <sz val="8"/>
      <name val="Tahoma"/>
      <family val="2"/>
      <charset val="1"/>
    </font>
    <font>
      <b val="true"/>
      <sz val="8"/>
      <color rgb="FF6D6D6D"/>
      <name val="Tahoma"/>
      <family val="2"/>
      <charset val="1"/>
    </font>
    <font>
      <sz val="9"/>
      <color rgb="FF000000"/>
      <name val="Calibri"/>
      <family val="2"/>
      <charset val="1"/>
    </font>
    <font>
      <u val="single"/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8"/>
      <color rgb="FF000000"/>
      <name val="MS Sans Serif"/>
      <family val="2"/>
      <charset val="1"/>
    </font>
    <font>
      <sz val="8"/>
      <color rgb="FF000000"/>
      <name val="MS Sans Serif"/>
      <family val="2"/>
      <charset val="1"/>
    </font>
    <font>
      <b val="true"/>
      <sz val="8"/>
      <color rgb="FF000000"/>
      <name val="MS Sans Serif"/>
      <family val="0"/>
      <charset val="1"/>
    </font>
    <font>
      <sz val="11"/>
      <color rgb="FF000000"/>
      <name val="Arial"/>
      <family val="2"/>
      <charset val="1"/>
    </font>
    <font>
      <sz val="7"/>
      <color rgb="FF000000"/>
      <name val="Arial"/>
      <family val="2"/>
      <charset val="1"/>
    </font>
    <font>
      <sz val="6"/>
      <color rgb="FF000000"/>
      <name val="Arial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theme="5"/>
        <bgColor rgb="FFFF9900"/>
      </patternFill>
    </fill>
    <fill>
      <patternFill patternType="solid">
        <fgColor theme="3"/>
        <bgColor rgb="FF2F5597"/>
      </patternFill>
    </fill>
    <fill>
      <patternFill patternType="solid">
        <fgColor rgb="FFFFFF00"/>
        <bgColor rgb="FFFFD966"/>
      </patternFill>
    </fill>
    <fill>
      <patternFill patternType="solid">
        <fgColor rgb="FF0070C0"/>
        <bgColor rgb="FF008080"/>
      </patternFill>
    </fill>
    <fill>
      <patternFill patternType="solid">
        <fgColor rgb="FF009999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FF0000"/>
        <bgColor rgb="FF9C0006"/>
      </patternFill>
    </fill>
    <fill>
      <patternFill patternType="solid">
        <fgColor theme="3" tint="-0.25"/>
        <bgColor rgb="FF44546A"/>
      </patternFill>
    </fill>
    <fill>
      <patternFill patternType="solid">
        <fgColor rgb="FF000066"/>
        <bgColor rgb="FF000080"/>
      </patternFill>
    </fill>
    <fill>
      <patternFill patternType="solid">
        <fgColor rgb="FFE8E8E8"/>
        <bgColor rgb="FFDEEBF7"/>
      </patternFill>
    </fill>
    <fill>
      <patternFill patternType="solid">
        <fgColor rgb="FF7BA8D9"/>
        <bgColor rgb="FF8FAADC"/>
      </patternFill>
    </fill>
    <fill>
      <patternFill patternType="solid">
        <fgColor rgb="FFD9E6F4"/>
        <bgColor rgb="FFDEEBF7"/>
      </patternFill>
    </fill>
    <fill>
      <patternFill patternType="solid">
        <fgColor rgb="FFFFFFFF"/>
        <bgColor rgb="FFF0F0F0"/>
      </patternFill>
    </fill>
    <fill>
      <patternFill patternType="solid">
        <fgColor rgb="FF002060"/>
        <bgColor rgb="FF000066"/>
      </patternFill>
    </fill>
    <fill>
      <patternFill patternType="solid">
        <fgColor rgb="FFFFFF99"/>
        <bgColor rgb="FFFFE699"/>
      </patternFill>
    </fill>
    <fill>
      <patternFill patternType="solid">
        <fgColor theme="8" tint="0.3999"/>
        <bgColor rgb="FF99B4D1"/>
      </patternFill>
    </fill>
    <fill>
      <patternFill patternType="solid">
        <fgColor theme="7" tint="0.3999"/>
        <bgColor rgb="FFFFE699"/>
      </patternFill>
    </fill>
    <fill>
      <patternFill patternType="solid">
        <fgColor theme="6" tint="0.3999"/>
        <bgColor rgb="FFD0CECE"/>
      </patternFill>
    </fill>
    <fill>
      <patternFill patternType="solid">
        <fgColor theme="0" tint="-0.15"/>
        <bgColor rgb="FFD0D0D0"/>
      </patternFill>
    </fill>
    <fill>
      <patternFill patternType="solid">
        <fgColor theme="7" tint="0.5999"/>
        <bgColor rgb="FFFFFF99"/>
      </patternFill>
    </fill>
    <fill>
      <patternFill patternType="solid">
        <fgColor rgb="FFD0D0D0"/>
        <bgColor rgb="FFD0CECE"/>
      </patternFill>
    </fill>
    <fill>
      <patternFill patternType="solid">
        <fgColor rgb="FF00B050"/>
        <bgColor rgb="FF009999"/>
      </patternFill>
    </fill>
    <fill>
      <patternFill patternType="solid">
        <fgColor rgb="FF99B4D1"/>
        <bgColor rgb="FF8FAADC"/>
      </patternFill>
    </fill>
    <fill>
      <patternFill patternType="solid">
        <fgColor rgb="FFF0F0F0"/>
        <bgColor rgb="FFE8E8E8"/>
      </patternFill>
    </fill>
    <fill>
      <patternFill patternType="solid">
        <fgColor theme="4" tint="0.7999"/>
        <bgColor rgb="FFD9E6F4"/>
      </patternFill>
    </fill>
    <fill>
      <patternFill patternType="solid">
        <fgColor theme="2" tint="-0.1"/>
        <bgColor rgb="FFD0D0D0"/>
      </patternFill>
    </fill>
    <fill>
      <patternFill patternType="solid">
        <fgColor rgb="FF99CCFF"/>
        <bgColor rgb="FF9DC3E6"/>
      </patternFill>
    </fill>
    <fill>
      <patternFill patternType="solid">
        <fgColor theme="7" tint="0.7999"/>
        <bgColor rgb="FFF0F0F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n">
        <color rgb="FFA1A8AD"/>
      </bottom>
      <diagonal/>
    </border>
    <border diagonalUp="false" diagonalDown="false">
      <left/>
      <right/>
      <top/>
      <bottom style="thin">
        <color rgb="FFE8E8E8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/>
      <right/>
      <top/>
      <bottom style="dotted"/>
      <diagonal/>
    </border>
    <border diagonalUp="false" diagonalDown="false">
      <left/>
      <right/>
      <top/>
      <bottom style="medium">
        <color theme="8" tint="-0.25"/>
      </bottom>
      <diagonal/>
    </border>
    <border diagonalUp="false" diagonalDown="false">
      <left/>
      <right/>
      <top style="dotted"/>
      <bottom style="dotted"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/>
      <diagonal/>
    </border>
  </borders>
  <cellStyleXfs count="21">
    <xf numFmtId="164" fontId="0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left" vertical="top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7" fontId="0" fillId="0" borderId="0" applyFont="true" applyBorder="false" applyAlignment="true" applyProtection="false">
      <alignment horizontal="left" vertical="top" textRotation="0" wrapText="false" indent="0" shrinkToFit="false"/>
    </xf>
    <xf numFmtId="164" fontId="4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</cellStyleXfs>
  <cellXfs count="223">
    <xf numFmtId="164" fontId="0" fillId="0" borderId="0" xfId="0" applyFont="false" applyBorder="false" applyAlignment="false" applyProtection="false">
      <alignment horizontal="left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9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1" fontId="21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21" fillId="4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11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1" fillId="11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1" fontId="21" fillId="11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1" fontId="21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23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13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13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13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72" fontId="0" fillId="13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14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72" fontId="0" fillId="14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4" fillId="1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4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4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24" fillId="1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2" fontId="24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4" fillId="1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4" fillId="1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4" fillId="1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2" fontId="24" fillId="1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6" fillId="1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7" fillId="15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8" fillId="14" borderId="7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8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8" fillId="1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28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9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0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31" fillId="1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31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2" fillId="14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9" fontId="32" fillId="14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32" fillId="14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33" fillId="14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32" fillId="1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3" fontId="34" fillId="16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74" fontId="35" fillId="4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2" fillId="14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36" fillId="17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9" fontId="36" fillId="17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34" fillId="17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9" fontId="33" fillId="1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5" fontId="34" fillId="18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7" fillId="19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2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32" fillId="1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32" fillId="1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34" fillId="18" borderId="1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34" fillId="21" borderId="8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34" fillId="18" borderId="8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38" fillId="2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6" fontId="38" fillId="19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38" fillId="19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7" fontId="32" fillId="14" borderId="0" xfId="19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4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4" fillId="14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4" fillId="14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34" fillId="1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37" fillId="1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34" fillId="14" borderId="1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34" fillId="14" borderId="1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2" fillId="14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32" fillId="4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32" fillId="14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8" fillId="14" borderId="7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32" fillId="14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32" fillId="14" borderId="1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9" fontId="32" fillId="14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0" fontId="32" fillId="14" borderId="1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34" fillId="4" borderId="1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7" fontId="38" fillId="20" borderId="10" xfId="19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2" fillId="14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32" fillId="14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32" fillId="14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32" fillId="14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34" fillId="18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34" fillId="21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38" fillId="19" borderId="10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5" fontId="38" fillId="20" borderId="10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77" fontId="38" fillId="20" borderId="10" xfId="19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76" fontId="38" fillId="19" borderId="10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2" fillId="2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2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39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39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0" fillId="2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0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1" fillId="25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1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1" fillId="2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4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1" fillId="1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0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3" fillId="0" borderId="14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3" fillId="0" borderId="14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9" fontId="4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0" fontId="4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1" fontId="4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2" fontId="4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1" fontId="4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4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4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19" fillId="2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26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74" fontId="35" fillId="26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36" fillId="17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9" fontId="36" fillId="17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34" fillId="17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9" fontId="33" fillId="14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75" fontId="34" fillId="21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4" fillId="21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5" fontId="34" fillId="27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7" fillId="20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7" fillId="19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14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84" fontId="32" fillId="14" borderId="0" xfId="19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6" fontId="34" fillId="21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7" fontId="32" fillId="14" borderId="0" xfId="19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34" fillId="1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4" fillId="1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4" fillId="1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7" fillId="1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4" fillId="14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4" fillId="14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2" fillId="14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4" fillId="2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4" borderId="7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6" fontId="32" fillId="4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32" fillId="28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5" fontId="32" fillId="28" borderId="10" xfId="19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34" fillId="29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34" fillId="29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D6D6D"/>
          <bgColor rgb="FF000000"/>
        </patternFill>
      </fill>
    </dxf>
    <dxf>
      <font>
        <b val="1"/>
        <i val="1"/>
        <color rgb="FFFFFFFF"/>
      </font>
      <fill>
        <patternFill>
          <bgColor rgb="FFFF9900"/>
        </patternFill>
      </fill>
    </dxf>
    <dxf>
      <font>
        <b val="1"/>
        <i val="1"/>
        <color rgb="FFFFFFFF"/>
      </font>
      <fill>
        <patternFill>
          <bgColor rgb="FFFF0000"/>
        </patternFill>
      </fill>
    </dxf>
    <dxf>
      <font>
        <b val="1"/>
        <i val="1"/>
        <color rgb="FFFFFFFF"/>
      </font>
      <fill>
        <patternFill>
          <bgColor rgb="FF0000FF"/>
        </patternFill>
      </fill>
    </dxf>
    <dxf>
      <font>
        <b val="1"/>
        <i val="1"/>
        <color rgb="FFFFFFFF"/>
      </font>
      <fill>
        <patternFill>
          <bgColor rgb="FFFF0000"/>
        </patternFill>
      </fill>
    </dxf>
    <dxf>
      <font>
        <b val="1"/>
        <i val="1"/>
        <color rgb="FFFFFFFF"/>
      </font>
      <fill>
        <patternFill>
          <bgColor rgb="FFFF99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66"/>
      <rgbColor rgb="FFF0F0F0"/>
      <rgbColor rgb="FF800080"/>
      <rgbColor rgb="FF009999"/>
      <rgbColor rgb="FFC9C9C9"/>
      <rgbColor rgb="FF7BA8D9"/>
      <rgbColor rgb="FF8FAADC"/>
      <rgbColor rgb="FF993366"/>
      <rgbColor rgb="FFFFF2CC"/>
      <rgbColor rgb="FFDEEBF7"/>
      <rgbColor rgb="FF660066"/>
      <rgbColor rgb="FFD9D9D9"/>
      <rgbColor rgb="FF0070C0"/>
      <rgbColor rgb="FFD0D0D0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D9E6F4"/>
      <rgbColor rgb="FFE8E8E8"/>
      <rgbColor rgb="FFFFFF99"/>
      <rgbColor rgb="FF99CCFF"/>
      <rgbColor rgb="FFD0CECE"/>
      <rgbColor rgb="FFA1A8AD"/>
      <rgbColor rgb="FFFFC7CE"/>
      <rgbColor rgb="FF3366FF"/>
      <rgbColor rgb="FF99B4D1"/>
      <rgbColor rgb="FF9DC3E6"/>
      <rgbColor rgb="FFFFD966"/>
      <rgbColor rgb="FFFF9900"/>
      <rgbColor rgb="FFED7D31"/>
      <rgbColor rgb="FF6D6D6D"/>
      <rgbColor rgb="FFA0A0A0"/>
      <rgbColor rgb="FF002060"/>
      <rgbColor rgb="FF00B050"/>
      <rgbColor rgb="FF003300"/>
      <rgbColor rgb="FF44546A"/>
      <rgbColor rgb="FF993300"/>
      <rgbColor rgb="FF993366"/>
      <rgbColor rgb="FF2F5597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externalLink" Target="externalLinks/externalLink1.xml"/><Relationship Id="rId3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190440</xdr:colOff>
      <xdr:row>0</xdr:row>
      <xdr:rowOff>120240</xdr:rowOff>
    </xdr:from>
    <xdr:to>
      <xdr:col>1</xdr:col>
      <xdr:colOff>685440</xdr:colOff>
      <xdr:row>4</xdr:row>
      <xdr:rowOff>28080</xdr:rowOff>
    </xdr:to>
    <xdr:pic>
      <xdr:nvPicPr>
        <xdr:cNvPr id="1" name="Imagem 5" descr=""/>
        <xdr:cNvPicPr/>
      </xdr:nvPicPr>
      <xdr:blipFill>
        <a:blip r:embed="rId1"/>
        <a:stretch/>
      </xdr:blipFill>
      <xdr:spPr>
        <a:xfrm>
          <a:off x="190440" y="120240"/>
          <a:ext cx="1002960" cy="82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104760</xdr:colOff>
      <xdr:row>0</xdr:row>
      <xdr:rowOff>209520</xdr:rowOff>
    </xdr:from>
    <xdr:to>
      <xdr:col>2</xdr:col>
      <xdr:colOff>2294280</xdr:colOff>
      <xdr:row>4</xdr:row>
      <xdr:rowOff>174960</xdr:rowOff>
    </xdr:to>
    <xdr:pic>
      <xdr:nvPicPr>
        <xdr:cNvPr id="2" name="Imagem 2" descr=""/>
        <xdr:cNvPicPr/>
      </xdr:nvPicPr>
      <xdr:blipFill>
        <a:blip r:embed="rId2"/>
        <a:stretch/>
      </xdr:blipFill>
      <xdr:spPr>
        <a:xfrm>
          <a:off x="1774800" y="209520"/>
          <a:ext cx="2189520" cy="879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461520</xdr:colOff>
      <xdr:row>0</xdr:row>
      <xdr:rowOff>114480</xdr:rowOff>
    </xdr:from>
    <xdr:to>
      <xdr:col>3</xdr:col>
      <xdr:colOff>1550520</xdr:colOff>
      <xdr:row>9</xdr:row>
      <xdr:rowOff>8640</xdr:rowOff>
    </xdr:to>
    <xdr:pic>
      <xdr:nvPicPr>
        <xdr:cNvPr id="3" name="Imagem 1" descr=""/>
        <xdr:cNvPicPr/>
      </xdr:nvPicPr>
      <xdr:blipFill>
        <a:blip r:embed="rId1"/>
        <a:stretch/>
      </xdr:blipFill>
      <xdr:spPr>
        <a:xfrm>
          <a:off x="1471320" y="114480"/>
          <a:ext cx="1089000" cy="2019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410760</xdr:colOff>
      <xdr:row>1</xdr:row>
      <xdr:rowOff>75600</xdr:rowOff>
    </xdr:from>
    <xdr:to>
      <xdr:col>3</xdr:col>
      <xdr:colOff>267120</xdr:colOff>
      <xdr:row>6</xdr:row>
      <xdr:rowOff>186480</xdr:rowOff>
    </xdr:to>
    <xdr:pic>
      <xdr:nvPicPr>
        <xdr:cNvPr id="4" name="Imagem 1" descr=""/>
        <xdr:cNvPicPr/>
      </xdr:nvPicPr>
      <xdr:blipFill>
        <a:blip r:embed="rId1"/>
        <a:stretch/>
      </xdr:blipFill>
      <xdr:spPr>
        <a:xfrm>
          <a:off x="1078200" y="295920"/>
          <a:ext cx="1191240" cy="976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C:/Users/Jorge/Downloads/mapa%20lebon%2011.0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PA ATUAL"/>
      <sheetName val="8163"/>
    </sheetNames>
    <sheetDataSet>
      <sheetData sheetId="0"/>
      <sheetData sheetId="1">
        <row r="2">
          <cell r="A2" t="str">
            <v>CODPROD</v>
          </cell>
          <cell r="B2" t="str">
            <v>CODFAB</v>
          </cell>
          <cell r="C2" t="str">
            <v>EAN</v>
          </cell>
          <cell r="D2" t="str">
            <v>CODFORNEC</v>
          </cell>
          <cell r="E2" t="str">
            <v>FORNECEDOR</v>
          </cell>
          <cell r="F2" t="str">
            <v>DESCRICAO</v>
          </cell>
          <cell r="G2" t="str">
            <v>PRINCIPIOATIVO</v>
          </cell>
          <cell r="H2" t="str">
            <v>EMBALAGEM</v>
          </cell>
          <cell r="I2" t="str">
            <v>PTABELA</v>
          </cell>
          <cell r="J2" t="str">
            <v>OBS</v>
          </cell>
          <cell r="K2" t="str">
            <v>OBS2</v>
          </cell>
          <cell r="L2" t="str">
            <v>QTUNITCX</v>
          </cell>
          <cell r="M2" t="str">
            <v>DTULTENT</v>
          </cell>
          <cell r="N2" t="str">
            <v>QTULTENT</v>
          </cell>
          <cell r="O2" t="str">
            <v>VLULTPCOMPRA</v>
          </cell>
          <cell r="P2" t="str">
            <v>QTDISP</v>
          </cell>
          <cell r="Q2" t="str">
            <v>CUSTOREP</v>
          </cell>
          <cell r="R2" t="str">
            <v>QTPEDIDA</v>
          </cell>
          <cell r="S2" t="str">
            <v>MES0</v>
          </cell>
          <cell r="T2" t="str">
            <v>MES1</v>
          </cell>
          <cell r="U2" t="str">
            <v>MES2</v>
          </cell>
          <cell r="V2" t="str">
            <v>MES3</v>
          </cell>
        </row>
        <row r="3">
          <cell r="A3" t="str">
            <v>CODPROD</v>
          </cell>
          <cell r="B3" t="str">
            <v>CODFAB</v>
          </cell>
          <cell r="C3" t="str">
            <v>EAN</v>
          </cell>
          <cell r="D3" t="str">
            <v>CODFORNEC</v>
          </cell>
          <cell r="E3" t="str">
            <v>FORNECEDOR</v>
          </cell>
          <cell r="F3" t="str">
            <v>DESCRICAO</v>
          </cell>
          <cell r="G3" t="str">
            <v>PRINCIPIOATIVO</v>
          </cell>
          <cell r="H3" t="str">
            <v>EMBALAGEM</v>
          </cell>
          <cell r="I3" t="str">
            <v>PTABELA</v>
          </cell>
          <cell r="J3" t="str">
            <v>OBS</v>
          </cell>
          <cell r="K3" t="str">
            <v>OBS2</v>
          </cell>
          <cell r="L3" t="str">
            <v>QTUNITCX</v>
          </cell>
          <cell r="M3" t="str">
            <v>DTULTENT</v>
          </cell>
          <cell r="N3" t="str">
            <v>QTULTENT</v>
          </cell>
          <cell r="O3" t="str">
            <v>VLULTPCOMPRA</v>
          </cell>
          <cell r="P3" t="str">
            <v>QTDISP</v>
          </cell>
          <cell r="Q3" t="str">
            <v>CUSTOREP</v>
          </cell>
          <cell r="R3" t="str">
            <v>QTPEDIDA</v>
          </cell>
          <cell r="S3" t="str">
            <v>MES0</v>
          </cell>
          <cell r="T3" t="str">
            <v>MES1</v>
          </cell>
          <cell r="U3" t="str">
            <v>MES2</v>
          </cell>
          <cell r="V3" t="str">
            <v>MES3</v>
          </cell>
        </row>
        <row r="4">
          <cell r="A4">
            <v>31676</v>
          </cell>
          <cell r="B4" t="str">
            <v>900846</v>
          </cell>
          <cell r="C4">
            <v>7898902180998</v>
          </cell>
          <cell r="D4">
            <v>4661</v>
          </cell>
          <cell r="E4" t="str">
            <v>LEBON PRODUTOS QUIMICOS FARMACEUTICOS LTDA</v>
          </cell>
          <cell r="F4" t="str">
            <v>HYADROP 10 ML LEBON</v>
          </cell>
          <cell r="G4" t="str">
            <v>OUTROS</v>
          </cell>
          <cell r="H4" t="str">
            <v>1X10ML</v>
          </cell>
          <cell r="I4">
            <v>33.9</v>
          </cell>
        </row>
        <row r="4">
          <cell r="L4">
            <v>60</v>
          </cell>
          <cell r="M4">
            <v>45813</v>
          </cell>
          <cell r="N4">
            <v>300</v>
          </cell>
          <cell r="O4">
            <v>17.8</v>
          </cell>
          <cell r="P4">
            <v>1066</v>
          </cell>
          <cell r="Q4">
            <v>7.37</v>
          </cell>
          <cell r="R4">
            <v>0</v>
          </cell>
          <cell r="S4">
            <v>91</v>
          </cell>
          <cell r="T4">
            <v>238</v>
          </cell>
          <cell r="U4">
            <v>343</v>
          </cell>
          <cell r="V4">
            <v>288</v>
          </cell>
        </row>
        <row r="5">
          <cell r="A5">
            <v>34589</v>
          </cell>
          <cell r="B5" t="str">
            <v>400946</v>
          </cell>
          <cell r="C5">
            <v>7898902180387</v>
          </cell>
          <cell r="D5">
            <v>4661</v>
          </cell>
          <cell r="E5" t="str">
            <v>LEBON PRODUTOS QUIMICOS FARMACEUTICOS LTDA</v>
          </cell>
          <cell r="F5" t="str">
            <v>HYADROP PROTECT 0,15% 10ML (-) LEBON</v>
          </cell>
          <cell r="G5" t="str">
            <v>HIALURONATO DE SÓDIO</v>
          </cell>
          <cell r="H5" t="str">
            <v>1X10ML</v>
          </cell>
          <cell r="I5">
            <v>35.99</v>
          </cell>
        </row>
        <row r="5">
          <cell r="L5">
            <v>60</v>
          </cell>
          <cell r="M5">
            <v>45769</v>
          </cell>
          <cell r="N5">
            <v>60</v>
          </cell>
          <cell r="O5">
            <v>23</v>
          </cell>
          <cell r="P5">
            <v>41</v>
          </cell>
          <cell r="Q5">
            <v>7.37</v>
          </cell>
          <cell r="R5">
            <v>0</v>
          </cell>
          <cell r="S5">
            <v>7</v>
          </cell>
          <cell r="T5">
            <v>12</v>
          </cell>
          <cell r="U5">
            <v>0</v>
          </cell>
          <cell r="V5">
            <v>0</v>
          </cell>
        </row>
        <row r="6">
          <cell r="A6">
            <v>32585</v>
          </cell>
          <cell r="B6" t="str">
            <v>400746</v>
          </cell>
          <cell r="C6">
            <v>7898902180134</v>
          </cell>
          <cell r="D6">
            <v>4661</v>
          </cell>
          <cell r="E6" t="str">
            <v>LEBON PRODUTOS QUIMICOS FARMACEUTICOS LTDA</v>
          </cell>
          <cell r="F6" t="str">
            <v>LACRIVISION 5MG FR C/10ML (-) LEBON</v>
          </cell>
          <cell r="G6" t="str">
            <v>OUTROS</v>
          </cell>
          <cell r="H6" t="str">
            <v>1X10ML</v>
          </cell>
          <cell r="I6">
            <v>19.18</v>
          </cell>
          <cell r="J6" t="str">
            <v>PL</v>
          </cell>
        </row>
        <row r="6">
          <cell r="L6">
            <v>60</v>
          </cell>
          <cell r="M6">
            <v>45813</v>
          </cell>
          <cell r="N6">
            <v>720</v>
          </cell>
          <cell r="O6">
            <v>6.33</v>
          </cell>
          <cell r="P6">
            <v>2106</v>
          </cell>
          <cell r="Q6">
            <v>7.37</v>
          </cell>
          <cell r="R6">
            <v>0</v>
          </cell>
          <cell r="S6">
            <v>255</v>
          </cell>
          <cell r="T6">
            <v>1030</v>
          </cell>
          <cell r="U6">
            <v>599</v>
          </cell>
          <cell r="V6">
            <v>1656</v>
          </cell>
        </row>
        <row r="7">
          <cell r="A7">
            <v>31674</v>
          </cell>
          <cell r="B7" t="str">
            <v>900746</v>
          </cell>
          <cell r="C7">
            <v>7898902180745</v>
          </cell>
          <cell r="D7">
            <v>4661</v>
          </cell>
          <cell r="E7" t="str">
            <v>LEBON PRODUTOS QUIMICOS FARMACEUTICOS LTDA</v>
          </cell>
          <cell r="F7" t="str">
            <v>SUPRILAG UL 10ML LEBON</v>
          </cell>
          <cell r="G7" t="str">
            <v>OUTROS</v>
          </cell>
          <cell r="H7" t="str">
            <v>1X10ML</v>
          </cell>
          <cell r="I7">
            <v>25.8</v>
          </cell>
        </row>
        <row r="7">
          <cell r="L7">
            <v>60</v>
          </cell>
          <cell r="M7">
            <v>45769</v>
          </cell>
          <cell r="N7">
            <v>720</v>
          </cell>
          <cell r="O7">
            <v>7.8</v>
          </cell>
          <cell r="P7">
            <v>246</v>
          </cell>
          <cell r="Q7">
            <v>7.37</v>
          </cell>
          <cell r="R7">
            <v>0</v>
          </cell>
          <cell r="S7">
            <v>93</v>
          </cell>
          <cell r="T7">
            <v>357</v>
          </cell>
          <cell r="U7">
            <v>223</v>
          </cell>
          <cell r="V7">
            <v>537</v>
          </cell>
        </row>
        <row r="8">
          <cell r="A8">
            <v>31677</v>
          </cell>
          <cell r="B8" t="str">
            <v>900747</v>
          </cell>
          <cell r="C8">
            <v>7898902180752</v>
          </cell>
          <cell r="D8">
            <v>4661</v>
          </cell>
          <cell r="E8" t="str">
            <v>LEBON PRODUTOS QUIMICOS FARMACEUTICOS LTDA</v>
          </cell>
          <cell r="F8" t="str">
            <v>SUPRILAG UL 15ML LEBON</v>
          </cell>
          <cell r="G8" t="str">
            <v>OUTROS</v>
          </cell>
          <cell r="H8" t="str">
            <v>1X15ML</v>
          </cell>
          <cell r="I8">
            <v>33.8</v>
          </cell>
        </row>
        <row r="8">
          <cell r="L8">
            <v>60</v>
          </cell>
          <cell r="M8">
            <v>45539</v>
          </cell>
          <cell r="N8">
            <v>60</v>
          </cell>
          <cell r="O8">
            <v>10.2</v>
          </cell>
          <cell r="P8">
            <v>0</v>
          </cell>
          <cell r="Q8">
            <v>7.37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>
            <v>31673</v>
          </cell>
          <cell r="B9" t="str">
            <v>1000350</v>
          </cell>
          <cell r="C9">
            <v>7898902180981</v>
          </cell>
          <cell r="D9">
            <v>4661</v>
          </cell>
          <cell r="E9" t="str">
            <v>LEBON PRODUTOS QUIMICOS FARMACEUTICOS LTDA</v>
          </cell>
          <cell r="F9" t="str">
            <v>TREALENS KIT LENTE (120ML+360ML)</v>
          </cell>
          <cell r="G9" t="str">
            <v>SOLUCAO PARA LENTE DE CONTATO</v>
          </cell>
          <cell r="H9" t="str">
            <v>1X360+120ML</v>
          </cell>
          <cell r="I9">
            <v>31</v>
          </cell>
        </row>
        <row r="9">
          <cell r="L9">
            <v>12</v>
          </cell>
          <cell r="M9">
            <v>45385</v>
          </cell>
          <cell r="N9">
            <v>876</v>
          </cell>
          <cell r="O9">
            <v>15.5</v>
          </cell>
          <cell r="P9">
            <v>591</v>
          </cell>
          <cell r="Q9">
            <v>7.37</v>
          </cell>
          <cell r="R9">
            <v>0</v>
          </cell>
          <cell r="S9">
            <v>15</v>
          </cell>
          <cell r="T9">
            <v>28</v>
          </cell>
          <cell r="U9">
            <v>23</v>
          </cell>
          <cell r="V9">
            <v>43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ela2" displayName="Tabela2" ref="A1:K7" headerRowCount="1" totalsRowCount="0" totalsRowShown="0">
  <tableColumns count="11">
    <tableColumn id="1" name="CODPROD"/>
    <tableColumn id="2" name="CODFAB"/>
    <tableColumn id="3" name="EAN"/>
    <tableColumn id="4" name="FORNECEDOR"/>
    <tableColumn id="5" name="DESCRICAO"/>
    <tableColumn id="6" name="Ult. Entrada"/>
    <tableColumn id="7" name="Estoque"/>
    <tableColumn id="8" name="Und. Jun"/>
    <tableColumn id="9" name="Und. Maio"/>
    <tableColumn id="10" name="Und. Abril"/>
    <tableColumn id="11" name="Und. Março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3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4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12.11"/>
    <col collapsed="false" customWidth="true" hidden="false" outlineLevel="0" max="2" min="2" style="0" width="6.56"/>
    <col collapsed="false" customWidth="true" hidden="false" outlineLevel="0" max="3" min="3" style="0" width="33.44"/>
    <col collapsed="false" customWidth="true" hidden="false" outlineLevel="0" max="4" min="4" style="0" width="6.22"/>
    <col collapsed="false" customWidth="true" hidden="false" outlineLevel="0" max="5" min="5" style="0" width="7"/>
    <col collapsed="false" customWidth="true" hidden="false" outlineLevel="0" max="6" min="6" style="0" width="6.44"/>
    <col collapsed="false" customWidth="true" hidden="false" outlineLevel="0" max="7" min="7" style="0" width="8.34"/>
    <col collapsed="false" customWidth="true" hidden="false" outlineLevel="0" max="8" min="8" style="0" width="5.44"/>
    <col collapsed="false" customWidth="true" hidden="false" outlineLevel="0" max="9" min="9" style="0" width="6.66"/>
    <col collapsed="false" customWidth="true" hidden="false" outlineLevel="0" max="11" min="10" style="0" width="5.66"/>
    <col collapsed="false" customWidth="true" hidden="false" outlineLevel="0" max="12" min="12" style="0" width="7.22"/>
    <col collapsed="false" customWidth="true" hidden="false" outlineLevel="0" max="13" min="13" style="0" width="13.44"/>
    <col collapsed="false" customWidth="true" hidden="false" outlineLevel="0" max="14" min="14" style="0" width="17.89"/>
    <col collapsed="false" customWidth="true" hidden="false" outlineLevel="0" max="16" min="16" style="0" width="14.44"/>
  </cols>
  <sheetData>
    <row r="1" customFormat="false" ht="12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1" t="s">
        <v>15</v>
      </c>
    </row>
    <row r="2" customFormat="false" ht="15" hidden="false" customHeight="true" outlineLevel="0" collapsed="false">
      <c r="A2" s="4" t="n">
        <v>1</v>
      </c>
      <c r="B2" s="4" t="n">
        <v>20239</v>
      </c>
      <c r="C2" s="5" t="s">
        <v>16</v>
      </c>
      <c r="D2" s="6" t="n">
        <v>116</v>
      </c>
      <c r="E2" s="6" t="n">
        <v>0</v>
      </c>
      <c r="F2" s="6" t="n">
        <v>0</v>
      </c>
      <c r="G2" s="7" t="n">
        <v>116</v>
      </c>
      <c r="H2" s="4" t="s">
        <v>17</v>
      </c>
      <c r="I2" s="6" t="n">
        <v>0</v>
      </c>
      <c r="J2" s="6" t="n">
        <v>4</v>
      </c>
      <c r="K2" s="6" t="n">
        <v>0</v>
      </c>
      <c r="L2" s="6" t="n">
        <v>0</v>
      </c>
      <c r="M2" s="8" t="s">
        <v>18</v>
      </c>
      <c r="N2" s="9" t="n">
        <v>7898902180387</v>
      </c>
      <c r="O2" s="5" t="s">
        <v>19</v>
      </c>
      <c r="P2" s="5" t="s">
        <v>20</v>
      </c>
    </row>
    <row r="3" customFormat="false" ht="15" hidden="false" customHeight="true" outlineLevel="0" collapsed="false">
      <c r="A3" s="4" t="n">
        <v>1</v>
      </c>
      <c r="B3" s="4" t="n">
        <v>16735</v>
      </c>
      <c r="C3" s="5" t="s">
        <v>21</v>
      </c>
      <c r="D3" s="6" t="n">
        <v>273</v>
      </c>
      <c r="E3" s="6" t="n">
        <v>0</v>
      </c>
      <c r="F3" s="6" t="n">
        <v>0</v>
      </c>
      <c r="G3" s="7" t="n">
        <v>273</v>
      </c>
      <c r="H3" s="4" t="s">
        <v>17</v>
      </c>
      <c r="I3" s="6" t="n">
        <v>14</v>
      </c>
      <c r="J3" s="6" t="n">
        <v>47</v>
      </c>
      <c r="K3" s="6" t="n">
        <v>36</v>
      </c>
      <c r="L3" s="6" t="n">
        <v>63</v>
      </c>
      <c r="M3" s="8" t="s">
        <v>18</v>
      </c>
      <c r="N3" s="9" t="n">
        <v>7898902180998</v>
      </c>
      <c r="O3" s="5" t="s">
        <v>19</v>
      </c>
      <c r="P3" s="5" t="s">
        <v>20</v>
      </c>
    </row>
    <row r="4" customFormat="false" ht="15" hidden="false" customHeight="true" outlineLevel="0" collapsed="false">
      <c r="A4" s="4" t="n">
        <v>1</v>
      </c>
      <c r="B4" s="4" t="n">
        <v>17561</v>
      </c>
      <c r="C4" s="5" t="s">
        <v>22</v>
      </c>
      <c r="D4" s="6" t="n">
        <v>180</v>
      </c>
      <c r="E4" s="6" t="n">
        <v>0</v>
      </c>
      <c r="F4" s="6" t="n">
        <v>0</v>
      </c>
      <c r="G4" s="7" t="n">
        <v>180</v>
      </c>
      <c r="H4" s="4" t="s">
        <v>17</v>
      </c>
      <c r="I4" s="6" t="n">
        <v>7</v>
      </c>
      <c r="J4" s="6" t="n">
        <v>53</v>
      </c>
      <c r="K4" s="6" t="n">
        <v>0</v>
      </c>
      <c r="L4" s="6" t="n">
        <v>30</v>
      </c>
      <c r="M4" s="8" t="s">
        <v>18</v>
      </c>
      <c r="N4" s="9" t="n">
        <v>7898902180134</v>
      </c>
      <c r="O4" s="5" t="s">
        <v>19</v>
      </c>
      <c r="P4" s="5" t="s">
        <v>20</v>
      </c>
    </row>
    <row r="5" customFormat="false" ht="15" hidden="false" customHeight="true" outlineLevel="0" collapsed="false">
      <c r="A5" s="4" t="n">
        <v>1</v>
      </c>
      <c r="B5" s="4" t="n">
        <v>16469</v>
      </c>
      <c r="C5" s="5" t="s">
        <v>23</v>
      </c>
      <c r="D5" s="6" t="n">
        <v>182</v>
      </c>
      <c r="E5" s="6" t="n">
        <v>0</v>
      </c>
      <c r="F5" s="6" t="n">
        <v>0</v>
      </c>
      <c r="G5" s="7" t="n">
        <v>182</v>
      </c>
      <c r="H5" s="4" t="s">
        <v>17</v>
      </c>
      <c r="I5" s="6" t="n">
        <v>7</v>
      </c>
      <c r="J5" s="6" t="n">
        <v>9</v>
      </c>
      <c r="K5" s="6" t="n">
        <v>19</v>
      </c>
      <c r="L5" s="6" t="n">
        <v>41</v>
      </c>
      <c r="M5" s="8" t="s">
        <v>18</v>
      </c>
      <c r="N5" s="9" t="n">
        <v>7898902180745</v>
      </c>
      <c r="O5" s="5" t="s">
        <v>19</v>
      </c>
      <c r="P5" s="5" t="s">
        <v>20</v>
      </c>
    </row>
    <row r="6" customFormat="false" ht="15" hidden="false" customHeight="true" outlineLevel="0" collapsed="false">
      <c r="A6" s="4" t="n">
        <v>1</v>
      </c>
      <c r="B6" s="4" t="n">
        <v>16470</v>
      </c>
      <c r="C6" s="5" t="s">
        <v>24</v>
      </c>
      <c r="D6" s="6" t="n">
        <v>0</v>
      </c>
      <c r="E6" s="6" t="n">
        <v>0</v>
      </c>
      <c r="F6" s="6" t="n">
        <v>0</v>
      </c>
      <c r="G6" s="7" t="n">
        <v>0</v>
      </c>
      <c r="H6" s="4" t="s">
        <v>17</v>
      </c>
      <c r="I6" s="6" t="n">
        <v>0</v>
      </c>
      <c r="J6" s="6" t="n">
        <v>0</v>
      </c>
      <c r="K6" s="6" t="n">
        <v>0</v>
      </c>
      <c r="L6" s="6" t="n">
        <v>62</v>
      </c>
      <c r="M6" s="8" t="s">
        <v>25</v>
      </c>
      <c r="N6" s="9" t="n">
        <v>7898902180752</v>
      </c>
      <c r="O6" s="5" t="s">
        <v>19</v>
      </c>
      <c r="P6" s="5" t="s">
        <v>20</v>
      </c>
    </row>
    <row r="7" customFormat="false" ht="15" hidden="false" customHeight="true" outlineLevel="0" collapsed="false">
      <c r="A7" s="4" t="n">
        <v>1</v>
      </c>
      <c r="B7" s="4" t="n">
        <v>16471</v>
      </c>
      <c r="C7" s="5" t="s">
        <v>26</v>
      </c>
      <c r="D7" s="6" t="n">
        <v>0</v>
      </c>
      <c r="E7" s="6" t="n">
        <v>0</v>
      </c>
      <c r="F7" s="6" t="n">
        <v>0</v>
      </c>
      <c r="G7" s="7" t="n">
        <v>44</v>
      </c>
      <c r="H7" s="4" t="s">
        <v>17</v>
      </c>
      <c r="I7" s="6" t="n">
        <v>5</v>
      </c>
      <c r="J7" s="6" t="n">
        <v>11</v>
      </c>
      <c r="K7" s="6" t="n">
        <v>0</v>
      </c>
      <c r="L7" s="6" t="n">
        <v>0</v>
      </c>
      <c r="M7" s="8" t="s">
        <v>18</v>
      </c>
      <c r="N7" s="9" t="n">
        <v>7898902180981</v>
      </c>
      <c r="O7" s="5" t="s">
        <v>19</v>
      </c>
      <c r="P7" s="5" t="s">
        <v>27</v>
      </c>
    </row>
  </sheetData>
  <conditionalFormatting sqref="B1 N1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printOptions headings="false" gridLines="false" gridLinesSet="true" horizontalCentered="false" verticalCentered="false"/>
  <pageMargins left="0.15" right="0" top="0.2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171875" defaultRowHeight="9.75" customHeight="true" zeroHeight="false" outlineLevelRow="0" outlineLevelCol="0"/>
  <cols>
    <col collapsed="false" customWidth="true" hidden="false" outlineLevel="0" max="3" min="3" style="0" width="33.44"/>
    <col collapsed="false" customWidth="true" hidden="false" outlineLevel="0" max="13" min="13" style="0" width="13.44"/>
    <col collapsed="false" customWidth="true" hidden="false" outlineLevel="0" max="14" min="14" style="0" width="14.11"/>
    <col collapsed="false" customWidth="true" hidden="false" outlineLevel="0" max="15" min="15" style="0" width="7"/>
    <col collapsed="false" customWidth="true" hidden="false" outlineLevel="0" max="16" min="16" style="0" width="14.44"/>
  </cols>
  <sheetData>
    <row r="1" customFormat="false" ht="12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1" t="s">
        <v>15</v>
      </c>
    </row>
    <row r="2" customFormat="false" ht="12.65" hidden="false" customHeight="false" outlineLevel="0" collapsed="false">
      <c r="A2" s="4" t="n">
        <v>6</v>
      </c>
      <c r="B2" s="4" t="n">
        <v>20239</v>
      </c>
      <c r="C2" s="5" t="s">
        <v>16</v>
      </c>
      <c r="D2" s="6" t="n">
        <v>0</v>
      </c>
      <c r="E2" s="6" t="n">
        <v>0</v>
      </c>
      <c r="F2" s="6" t="n">
        <v>0</v>
      </c>
      <c r="G2" s="7" t="n">
        <v>0</v>
      </c>
      <c r="H2" s="4" t="s">
        <v>17</v>
      </c>
      <c r="I2" s="6" t="n">
        <v>0</v>
      </c>
      <c r="J2" s="6" t="n">
        <v>0</v>
      </c>
      <c r="K2" s="6" t="n">
        <v>0</v>
      </c>
      <c r="L2" s="6" t="n">
        <v>0</v>
      </c>
      <c r="M2" s="8"/>
      <c r="N2" s="9" t="n">
        <v>7898902180387</v>
      </c>
      <c r="O2" s="5" t="s">
        <v>19</v>
      </c>
      <c r="P2" s="5" t="s">
        <v>20</v>
      </c>
    </row>
    <row r="3" customFormat="false" ht="12.65" hidden="false" customHeight="false" outlineLevel="0" collapsed="false">
      <c r="A3" s="4" t="n">
        <v>6</v>
      </c>
      <c r="B3" s="4" t="n">
        <v>16735</v>
      </c>
      <c r="C3" s="5" t="s">
        <v>21</v>
      </c>
      <c r="D3" s="6" t="n">
        <v>142</v>
      </c>
      <c r="E3" s="6" t="n">
        <v>0</v>
      </c>
      <c r="F3" s="6" t="n">
        <v>0</v>
      </c>
      <c r="G3" s="7" t="n">
        <v>142</v>
      </c>
      <c r="H3" s="4" t="s">
        <v>17</v>
      </c>
      <c r="I3" s="6" t="n">
        <v>0</v>
      </c>
      <c r="J3" s="6" t="n">
        <v>8</v>
      </c>
      <c r="K3" s="6" t="n">
        <v>6</v>
      </c>
      <c r="L3" s="6" t="n">
        <v>6</v>
      </c>
      <c r="M3" s="8" t="s">
        <v>28</v>
      </c>
      <c r="N3" s="9" t="n">
        <v>7898902180998</v>
      </c>
      <c r="O3" s="5" t="s">
        <v>19</v>
      </c>
      <c r="P3" s="5" t="s">
        <v>20</v>
      </c>
    </row>
    <row r="4" customFormat="false" ht="12.65" hidden="false" customHeight="false" outlineLevel="0" collapsed="false">
      <c r="A4" s="4" t="n">
        <v>6</v>
      </c>
      <c r="B4" s="4" t="n">
        <v>17561</v>
      </c>
      <c r="C4" s="5" t="s">
        <v>22</v>
      </c>
      <c r="D4" s="6" t="n">
        <v>0</v>
      </c>
      <c r="E4" s="6" t="n">
        <v>0</v>
      </c>
      <c r="F4" s="6" t="n">
        <v>0</v>
      </c>
      <c r="G4" s="7" t="n">
        <v>88</v>
      </c>
      <c r="H4" s="4" t="s">
        <v>17</v>
      </c>
      <c r="I4" s="6" t="n">
        <v>0</v>
      </c>
      <c r="J4" s="6" t="n">
        <v>0</v>
      </c>
      <c r="K4" s="6" t="n">
        <v>0</v>
      </c>
      <c r="L4" s="6" t="n">
        <v>0</v>
      </c>
      <c r="M4" s="8" t="s">
        <v>28</v>
      </c>
      <c r="N4" s="9" t="n">
        <v>7898902180134</v>
      </c>
      <c r="O4" s="5" t="s">
        <v>19</v>
      </c>
      <c r="P4" s="5" t="s">
        <v>20</v>
      </c>
    </row>
    <row r="5" customFormat="false" ht="12.65" hidden="false" customHeight="false" outlineLevel="0" collapsed="false">
      <c r="A5" s="4" t="n">
        <v>6</v>
      </c>
      <c r="B5" s="4" t="n">
        <v>16469</v>
      </c>
      <c r="C5" s="5" t="s">
        <v>23</v>
      </c>
      <c r="D5" s="6" t="n">
        <v>100</v>
      </c>
      <c r="E5" s="6" t="n">
        <v>0</v>
      </c>
      <c r="F5" s="6" t="n">
        <v>0</v>
      </c>
      <c r="G5" s="7" t="n">
        <v>53</v>
      </c>
      <c r="H5" s="4" t="s">
        <v>17</v>
      </c>
      <c r="I5" s="6" t="n">
        <v>0</v>
      </c>
      <c r="J5" s="6" t="n">
        <v>0</v>
      </c>
      <c r="K5" s="6" t="n">
        <v>16</v>
      </c>
      <c r="L5" s="6" t="n">
        <v>4</v>
      </c>
      <c r="M5" s="8" t="s">
        <v>28</v>
      </c>
      <c r="N5" s="9" t="n">
        <v>7898902180745</v>
      </c>
      <c r="O5" s="5" t="s">
        <v>19</v>
      </c>
      <c r="P5" s="5" t="s">
        <v>20</v>
      </c>
    </row>
    <row r="6" customFormat="false" ht="12.65" hidden="false" customHeight="false" outlineLevel="0" collapsed="false">
      <c r="A6" s="4" t="n">
        <v>6</v>
      </c>
      <c r="B6" s="4" t="n">
        <v>16470</v>
      </c>
      <c r="C6" s="5" t="s">
        <v>24</v>
      </c>
      <c r="D6" s="6" t="n">
        <v>0</v>
      </c>
      <c r="E6" s="6" t="n">
        <v>0</v>
      </c>
      <c r="F6" s="6" t="n">
        <v>0</v>
      </c>
      <c r="G6" s="7" t="n">
        <v>0</v>
      </c>
      <c r="H6" s="4" t="s">
        <v>17</v>
      </c>
      <c r="I6" s="6" t="n">
        <v>0</v>
      </c>
      <c r="J6" s="6" t="n">
        <v>0</v>
      </c>
      <c r="K6" s="6" t="n">
        <v>0</v>
      </c>
      <c r="L6" s="6" t="n">
        <v>0</v>
      </c>
      <c r="M6" s="8" t="s">
        <v>29</v>
      </c>
      <c r="N6" s="9" t="n">
        <v>7898902180752</v>
      </c>
      <c r="O6" s="5" t="s">
        <v>19</v>
      </c>
      <c r="P6" s="5" t="s">
        <v>20</v>
      </c>
    </row>
    <row r="7" customFormat="false" ht="12.65" hidden="false" customHeight="false" outlineLevel="0" collapsed="false">
      <c r="A7" s="4" t="n">
        <v>6</v>
      </c>
      <c r="B7" s="4" t="n">
        <v>16471</v>
      </c>
      <c r="C7" s="5" t="s">
        <v>26</v>
      </c>
      <c r="D7" s="6" t="n">
        <v>0</v>
      </c>
      <c r="E7" s="6" t="n">
        <v>0</v>
      </c>
      <c r="F7" s="6" t="n">
        <v>0</v>
      </c>
      <c r="G7" s="7" t="n">
        <v>0</v>
      </c>
      <c r="H7" s="4" t="s">
        <v>17</v>
      </c>
      <c r="I7" s="6" t="n">
        <v>0</v>
      </c>
      <c r="J7" s="6" t="n">
        <v>0</v>
      </c>
      <c r="K7" s="6" t="n">
        <v>0</v>
      </c>
      <c r="L7" s="6" t="n">
        <v>0</v>
      </c>
      <c r="M7" s="8" t="s">
        <v>29</v>
      </c>
      <c r="N7" s="9" t="n">
        <v>7898902180981</v>
      </c>
      <c r="O7" s="5" t="s">
        <v>19</v>
      </c>
      <c r="P7" s="5" t="s">
        <v>27</v>
      </c>
    </row>
  </sheetData>
  <conditionalFormatting sqref="B1 N1">
    <cfRule type="duplicateValues" priority="2" aboveAverage="0" equalAverage="0" bottom="0" percent="0" rank="0" text="" dxfId="2"/>
    <cfRule type="duplicateValues" priority="3" aboveAverage="0" equalAverage="0" bottom="0" percent="0" rank="0" text="" dxfId="3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10.88"/>
    <col collapsed="false" customWidth="true" hidden="false" outlineLevel="0" max="3" min="3" style="0" width="33.44"/>
    <col collapsed="false" customWidth="true" hidden="false" outlineLevel="0" max="4" min="4" style="0" width="6.22"/>
    <col collapsed="false" customWidth="true" hidden="false" outlineLevel="0" max="8" min="8" style="0" width="9.88"/>
    <col collapsed="false" customWidth="true" hidden="false" outlineLevel="0" max="10" min="10" style="0" width="5.66"/>
    <col collapsed="false" customWidth="true" hidden="false" outlineLevel="0" max="13" min="13" style="0" width="13.44"/>
    <col collapsed="false" customWidth="true" hidden="false" outlineLevel="0" max="14" min="14" style="0" width="14.11"/>
    <col collapsed="false" customWidth="true" hidden="false" outlineLevel="0" max="15" min="15" style="0" width="7"/>
    <col collapsed="false" customWidth="true" hidden="false" outlineLevel="0" max="16" min="16" style="0" width="14.44"/>
  </cols>
  <sheetData>
    <row r="1" customFormat="false" ht="12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1" t="s">
        <v>15</v>
      </c>
    </row>
    <row r="2" customFormat="false" ht="12.65" hidden="false" customHeight="false" outlineLevel="0" collapsed="false">
      <c r="A2" s="4" t="n">
        <v>7</v>
      </c>
      <c r="B2" s="4" t="n">
        <v>20239</v>
      </c>
      <c r="C2" s="5" t="s">
        <v>16</v>
      </c>
      <c r="D2" s="6" t="n">
        <v>98</v>
      </c>
      <c r="E2" s="6" t="n">
        <v>0</v>
      </c>
      <c r="F2" s="6" t="n">
        <v>0</v>
      </c>
      <c r="G2" s="7" t="n">
        <v>98</v>
      </c>
      <c r="H2" s="4" t="s">
        <v>17</v>
      </c>
      <c r="I2" s="6" t="n">
        <v>2</v>
      </c>
      <c r="J2" s="6" t="n">
        <v>8</v>
      </c>
      <c r="K2" s="6" t="n">
        <v>12</v>
      </c>
      <c r="L2" s="6" t="n">
        <v>0</v>
      </c>
      <c r="M2" s="8" t="s">
        <v>30</v>
      </c>
      <c r="N2" s="9" t="n">
        <v>7898902180387</v>
      </c>
      <c r="O2" s="5" t="s">
        <v>19</v>
      </c>
      <c r="P2" s="5" t="s">
        <v>20</v>
      </c>
    </row>
    <row r="3" customFormat="false" ht="12.65" hidden="false" customHeight="false" outlineLevel="0" collapsed="false">
      <c r="A3" s="4" t="n">
        <v>7</v>
      </c>
      <c r="B3" s="4" t="n">
        <v>16735</v>
      </c>
      <c r="C3" s="5" t="s">
        <v>21</v>
      </c>
      <c r="D3" s="6" t="n">
        <v>554</v>
      </c>
      <c r="E3" s="6" t="n">
        <v>0</v>
      </c>
      <c r="F3" s="6" t="n">
        <v>3</v>
      </c>
      <c r="G3" s="7" t="n">
        <v>547</v>
      </c>
      <c r="H3" s="4" t="s">
        <v>17</v>
      </c>
      <c r="I3" s="6" t="n">
        <v>109</v>
      </c>
      <c r="J3" s="6" t="n">
        <v>206</v>
      </c>
      <c r="K3" s="6" t="n">
        <v>210</v>
      </c>
      <c r="L3" s="6" t="n">
        <v>314</v>
      </c>
      <c r="M3" s="8" t="s">
        <v>30</v>
      </c>
      <c r="N3" s="9" t="n">
        <v>7898902180998</v>
      </c>
      <c r="O3" s="5" t="s">
        <v>19</v>
      </c>
      <c r="P3" s="5" t="s">
        <v>20</v>
      </c>
    </row>
    <row r="4" customFormat="false" ht="12.65" hidden="false" customHeight="false" outlineLevel="0" collapsed="false">
      <c r="A4" s="4" t="n">
        <v>7</v>
      </c>
      <c r="B4" s="4" t="n">
        <v>17561</v>
      </c>
      <c r="C4" s="5" t="s">
        <v>22</v>
      </c>
      <c r="D4" s="6" t="n">
        <v>511</v>
      </c>
      <c r="E4" s="6" t="n">
        <v>0</v>
      </c>
      <c r="F4" s="6" t="n">
        <v>0</v>
      </c>
      <c r="G4" s="7" t="n">
        <v>505</v>
      </c>
      <c r="H4" s="4" t="s">
        <v>17</v>
      </c>
      <c r="I4" s="6" t="n">
        <v>89</v>
      </c>
      <c r="J4" s="6" t="n">
        <v>215</v>
      </c>
      <c r="K4" s="6" t="n">
        <v>158</v>
      </c>
      <c r="L4" s="6" t="n">
        <v>218</v>
      </c>
      <c r="M4" s="8" t="s">
        <v>30</v>
      </c>
      <c r="N4" s="9" t="n">
        <v>7898902180134</v>
      </c>
      <c r="O4" s="5" t="s">
        <v>19</v>
      </c>
      <c r="P4" s="5" t="s">
        <v>20</v>
      </c>
    </row>
    <row r="5" customFormat="false" ht="12.65" hidden="false" customHeight="false" outlineLevel="0" collapsed="false">
      <c r="A5" s="4" t="n">
        <v>7</v>
      </c>
      <c r="B5" s="4" t="n">
        <v>16469</v>
      </c>
      <c r="C5" s="5" t="s">
        <v>23</v>
      </c>
      <c r="D5" s="6" t="n">
        <v>183</v>
      </c>
      <c r="E5" s="6" t="n">
        <v>0</v>
      </c>
      <c r="F5" s="6" t="n">
        <v>0</v>
      </c>
      <c r="G5" s="7" t="n">
        <v>95</v>
      </c>
      <c r="H5" s="4" t="s">
        <v>17</v>
      </c>
      <c r="I5" s="6" t="n">
        <v>3</v>
      </c>
      <c r="J5" s="6" t="n">
        <v>37</v>
      </c>
      <c r="K5" s="6" t="n">
        <v>17</v>
      </c>
      <c r="L5" s="6" t="n">
        <v>23</v>
      </c>
      <c r="M5" s="8" t="s">
        <v>31</v>
      </c>
      <c r="N5" s="9" t="n">
        <v>7898902180745</v>
      </c>
      <c r="O5" s="5" t="s">
        <v>19</v>
      </c>
      <c r="P5" s="5" t="s">
        <v>20</v>
      </c>
    </row>
    <row r="6" customFormat="false" ht="12.65" hidden="false" customHeight="false" outlineLevel="0" collapsed="false">
      <c r="A6" s="4" t="n">
        <v>7</v>
      </c>
      <c r="B6" s="4" t="n">
        <v>16470</v>
      </c>
      <c r="C6" s="5" t="s">
        <v>24</v>
      </c>
      <c r="D6" s="6" t="n">
        <v>125</v>
      </c>
      <c r="E6" s="6" t="n">
        <v>0</v>
      </c>
      <c r="F6" s="6" t="n">
        <v>0</v>
      </c>
      <c r="G6" s="7" t="n">
        <v>0</v>
      </c>
      <c r="H6" s="4" t="s">
        <v>17</v>
      </c>
      <c r="I6" s="6" t="n">
        <v>0</v>
      </c>
      <c r="J6" s="6" t="n">
        <v>2</v>
      </c>
      <c r="K6" s="6" t="n">
        <v>13</v>
      </c>
      <c r="L6" s="6" t="n">
        <v>27</v>
      </c>
      <c r="M6" s="8" t="s">
        <v>31</v>
      </c>
      <c r="N6" s="9" t="n">
        <v>7898902180752</v>
      </c>
      <c r="O6" s="5" t="s">
        <v>19</v>
      </c>
      <c r="P6" s="5" t="s">
        <v>20</v>
      </c>
    </row>
    <row r="7" customFormat="false" ht="12.65" hidden="false" customHeight="false" outlineLevel="0" collapsed="false">
      <c r="A7" s="4" t="n">
        <v>7</v>
      </c>
      <c r="B7" s="4" t="n">
        <v>16471</v>
      </c>
      <c r="C7" s="5" t="s">
        <v>26</v>
      </c>
      <c r="D7" s="6" t="n">
        <v>11</v>
      </c>
      <c r="E7" s="6" t="n">
        <v>0</v>
      </c>
      <c r="F7" s="6" t="n">
        <v>1</v>
      </c>
      <c r="G7" s="7" t="n">
        <v>10</v>
      </c>
      <c r="H7" s="4" t="s">
        <v>17</v>
      </c>
      <c r="I7" s="6" t="n">
        <v>0</v>
      </c>
      <c r="J7" s="6" t="n">
        <v>12</v>
      </c>
      <c r="K7" s="6" t="n">
        <v>1</v>
      </c>
      <c r="L7" s="6" t="n">
        <v>51</v>
      </c>
      <c r="M7" s="8" t="s">
        <v>30</v>
      </c>
      <c r="N7" s="9" t="n">
        <v>7898902180981</v>
      </c>
      <c r="O7" s="5" t="s">
        <v>19</v>
      </c>
      <c r="P7" s="5" t="s">
        <v>27</v>
      </c>
    </row>
  </sheetData>
  <conditionalFormatting sqref="B1 N1">
    <cfRule type="duplicateValues" priority="2" aboveAverage="0" equalAverage="0" bottom="0" percent="0" rank="0" text="" dxfId="4"/>
    <cfRule type="duplicateValues" priority="3" aboveAverage="0" equalAverage="0" bottom="0" percent="0" rank="0" text="" dxfId="5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false" defaultGridColor="true" view="normal" topLeftCell="B1" colorId="64" zoomScale="100" zoomScaleNormal="100" zoomScalePageLayoutView="100" workbookViewId="0">
      <selection pane="topLeft" activeCell="I19" activeCellId="0" sqref="I19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10.44"/>
    <col collapsed="false" customWidth="true" hidden="false" outlineLevel="0" max="2" min="2" style="0" width="11.22"/>
    <col collapsed="false" customWidth="true" hidden="false" outlineLevel="0" max="5" min="5" style="0" width="12.34"/>
    <col collapsed="false" customWidth="true" hidden="false" outlineLevel="0" max="7" min="7" style="0" width="57.66"/>
  </cols>
  <sheetData>
    <row r="1" customFormat="false" ht="12.65" hidden="false" customHeight="true" outlineLevel="0" collapsed="false">
      <c r="A1" s="10" t="s">
        <v>32</v>
      </c>
      <c r="B1" s="10"/>
      <c r="C1" s="11" t="s">
        <v>33</v>
      </c>
      <c r="D1" s="11"/>
      <c r="E1" s="11"/>
      <c r="F1" s="11"/>
      <c r="G1" s="11"/>
      <c r="H1" s="10" t="s">
        <v>34</v>
      </c>
      <c r="I1" s="10"/>
      <c r="J1" s="10"/>
      <c r="K1" s="10"/>
      <c r="L1" s="10" t="s">
        <v>35</v>
      </c>
      <c r="M1" s="10" t="s">
        <v>35</v>
      </c>
      <c r="N1" s="10" t="s">
        <v>35</v>
      </c>
      <c r="O1" s="10" t="s">
        <v>35</v>
      </c>
    </row>
    <row r="2" customFormat="false" ht="12.65" hidden="false" customHeight="false" outlineLevel="0" collapsed="false">
      <c r="A2" s="10"/>
      <c r="B2" s="10"/>
      <c r="C2" s="12"/>
      <c r="D2" s="12"/>
      <c r="E2" s="12"/>
      <c r="F2" s="12"/>
      <c r="G2" s="12"/>
      <c r="H2" s="10" t="n">
        <f aca="false">SUBTOTAL(9,H4:H9)</f>
        <v>1904</v>
      </c>
      <c r="I2" s="10" t="n">
        <f aca="false">SUBTOTAL(9,I4:I9)</f>
        <v>1829</v>
      </c>
      <c r="J2" s="10" t="n">
        <f aca="false">SUBTOTAL(9,J4:J9)</f>
        <v>1863</v>
      </c>
      <c r="K2" s="10" t="n">
        <f aca="false">SUBTOTAL(9,K4:K9)</f>
        <v>985</v>
      </c>
      <c r="L2" s="10" t="n">
        <f aca="false">SUBTOTAL(9,L4:L9)</f>
        <v>4327</v>
      </c>
      <c r="M2" s="10"/>
      <c r="N2" s="10"/>
      <c r="O2" s="10"/>
    </row>
    <row r="3" customFormat="false" ht="35.05" hidden="false" customHeight="false" outlineLevel="0" collapsed="false">
      <c r="A3" s="13" t="s">
        <v>36</v>
      </c>
      <c r="B3" s="13" t="s">
        <v>37</v>
      </c>
      <c r="C3" s="14" t="s">
        <v>38</v>
      </c>
      <c r="D3" s="14" t="s">
        <v>39</v>
      </c>
      <c r="E3" s="14" t="s">
        <v>13</v>
      </c>
      <c r="F3" s="14" t="s">
        <v>40</v>
      </c>
      <c r="G3" s="14" t="s">
        <v>41</v>
      </c>
      <c r="H3" s="13" t="s">
        <v>42</v>
      </c>
      <c r="I3" s="13" t="s">
        <v>43</v>
      </c>
      <c r="J3" s="13" t="s">
        <v>44</v>
      </c>
      <c r="K3" s="13" t="s">
        <v>45</v>
      </c>
      <c r="L3" s="13" t="s">
        <v>46</v>
      </c>
      <c r="M3" s="13" t="s">
        <v>47</v>
      </c>
      <c r="N3" s="13" t="s">
        <v>48</v>
      </c>
      <c r="O3" s="13" t="s">
        <v>49</v>
      </c>
    </row>
    <row r="4" customFormat="false" ht="12.65" hidden="false" customHeight="false" outlineLevel="0" collapsed="false">
      <c r="A4" s="15" t="n">
        <v>414</v>
      </c>
      <c r="B4" s="15" t="s">
        <v>19</v>
      </c>
      <c r="C4" s="16" t="n">
        <v>400010560</v>
      </c>
      <c r="D4" s="16" t="s">
        <v>50</v>
      </c>
      <c r="E4" s="16" t="n">
        <v>7898902180998</v>
      </c>
      <c r="F4" s="16" t="n">
        <v>60</v>
      </c>
      <c r="G4" s="16" t="s">
        <v>51</v>
      </c>
      <c r="H4" s="15" t="n">
        <v>452</v>
      </c>
      <c r="I4" s="15" t="n">
        <v>443</v>
      </c>
      <c r="J4" s="15" t="n">
        <v>422</v>
      </c>
      <c r="K4" s="15" t="n">
        <v>228</v>
      </c>
      <c r="L4" s="17" t="n">
        <v>725</v>
      </c>
      <c r="M4" s="16" t="n">
        <f aca="true">IFERROR(IF($K4="","",IF($K4=0,AVERAGEIFS($H4:$J4,$H4:$J4,"&lt;&gt;0",$H4:$J4,"&gt;"&amp;LARGE($H4:$J4,1)*0.1),(SUMIFS($H4:$J4,$H4:$J4,"&lt;&gt;0",$H4:$J4,"&gt;"&amp;LARGE($H4:$J4,1)*0.1)+($K4/DAY(TODAY())*(NETWORKDAYS.INTL(DATE(2021,MONTH(TODAY()),1),EOMONTH(DATE(2021,MONTH(TODAY()),1),0),1,1))))/(COUNTIFS($H4:$J4,"&lt;&gt;0",$H4:$J4,"&gt;"&amp;LARGE($H4:$J4,1)*0.1)+1))),0)</f>
        <v>747.25</v>
      </c>
      <c r="N4" s="16" t="n">
        <f aca="false">IF($M4="","",IF($M4=0,"-",(IF($L4=0,0,($L4))/$M4)*30))</f>
        <v>29.1067246570759</v>
      </c>
      <c r="O4" s="15" t="e">
        <f aca="false">#N/A</f>
        <v>#N/A</v>
      </c>
    </row>
    <row r="5" customFormat="false" ht="12.65" hidden="false" customHeight="false" outlineLevel="0" collapsed="false">
      <c r="A5" s="18" t="n">
        <v>414</v>
      </c>
      <c r="B5" s="18" t="s">
        <v>19</v>
      </c>
      <c r="C5" s="19" t="n">
        <v>400017529</v>
      </c>
      <c r="D5" s="19" t="s">
        <v>52</v>
      </c>
      <c r="E5" s="19" t="n">
        <v>7898902180387</v>
      </c>
      <c r="F5" s="19" t="n">
        <v>60</v>
      </c>
      <c r="G5" s="19" t="s">
        <v>53</v>
      </c>
      <c r="H5" s="18" t="n">
        <v>0</v>
      </c>
      <c r="I5" s="18" t="n">
        <v>0</v>
      </c>
      <c r="J5" s="18" t="n">
        <v>6</v>
      </c>
      <c r="K5" s="18" t="n">
        <v>6</v>
      </c>
      <c r="L5" s="20" t="n">
        <v>384</v>
      </c>
      <c r="M5" s="19" t="n">
        <f aca="true">IFERROR(IF($K5="","",IF($K5=0,AVERAGEIFS($H5:$J5,$H5:$J5,"&lt;&gt;0",$H5:$J5,"&gt;"&amp;LARGE($H5:$J5,1)*0.1),(SUMIFS($H5:$J5,$H5:$J5,"&lt;&gt;0",$H5:$J5,"&gt;"&amp;LARGE($H5:$J5,1)*0.1)+($K5/DAY(TODAY())*(NETWORKDAYS.INTL(DATE(2021,MONTH(TODAY()),1),EOMONTH(DATE(2021,MONTH(TODAY()),1),0),1,1))))/(COUNTIFS($H5:$J5,"&lt;&gt;0",$H5:$J5,"&gt;"&amp;LARGE($H5:$J5,1)*0.1)+1))),0)</f>
        <v>25</v>
      </c>
      <c r="N5" s="19" t="n">
        <f aca="false">IF($M5="","",IF($M5=0,"-",(IF($L5=0,0,($L5))/$M5)*30))</f>
        <v>460.8</v>
      </c>
      <c r="O5" s="18" t="e">
        <f aca="false">#N/A</f>
        <v>#N/A</v>
      </c>
    </row>
    <row r="6" customFormat="false" ht="12.65" hidden="false" customHeight="false" outlineLevel="0" collapsed="false">
      <c r="A6" s="15" t="n">
        <v>414</v>
      </c>
      <c r="B6" s="15" t="s">
        <v>19</v>
      </c>
      <c r="C6" s="16" t="n">
        <v>400015639</v>
      </c>
      <c r="D6" s="16" t="s">
        <v>54</v>
      </c>
      <c r="E6" s="16" t="n">
        <v>7898902180134</v>
      </c>
      <c r="F6" s="16" t="n">
        <v>60</v>
      </c>
      <c r="G6" s="16" t="s">
        <v>55</v>
      </c>
      <c r="H6" s="15" t="n">
        <v>1349</v>
      </c>
      <c r="I6" s="15" t="n">
        <v>1246</v>
      </c>
      <c r="J6" s="15" t="n">
        <v>1304</v>
      </c>
      <c r="K6" s="15" t="n">
        <v>561</v>
      </c>
      <c r="L6" s="17" t="n">
        <v>2934</v>
      </c>
      <c r="M6" s="16" t="n">
        <f aca="true">IFERROR(IF($K6="","",IF($K6=0,AVERAGEIFS($H6:$J6,$H6:$J6,"&lt;&gt;0",$H6:$J6,"&gt;"&amp;LARGE($H6:$J6,1)*0.1),(SUMIFS($H6:$J6,$H6:$J6,"&lt;&gt;0",$H6:$J6,"&gt;"&amp;LARGE($H6:$J6,1)*0.1)+($K6/DAY(TODAY())*(NETWORKDAYS.INTL(DATE(2021,MONTH(TODAY()),1),EOMONTH(DATE(2021,MONTH(TODAY()),1),0),1,1))))/(COUNTIFS($H6:$J6,"&lt;&gt;0",$H6:$J6,"&gt;"&amp;LARGE($H6:$J6,1)*0.1)+1))),0)</f>
        <v>2003.25</v>
      </c>
      <c r="N6" s="16" t="n">
        <f aca="false">IF($M6="","",IF($M6=0,"-",(IF($L6=0,0,($L6))/$M6)*30))</f>
        <v>43.938599775365</v>
      </c>
      <c r="O6" s="15" t="e">
        <f aca="false">#N/A</f>
        <v>#N/A</v>
      </c>
    </row>
    <row r="7" customFormat="false" ht="12.65" hidden="false" customHeight="false" outlineLevel="0" collapsed="false">
      <c r="A7" s="21" t="n">
        <v>414</v>
      </c>
      <c r="B7" s="21" t="s">
        <v>19</v>
      </c>
      <c r="C7" s="22" t="n">
        <v>400010558</v>
      </c>
      <c r="D7" s="22" t="s">
        <v>56</v>
      </c>
      <c r="E7" s="22" t="n">
        <v>7898902180745</v>
      </c>
      <c r="F7" s="22" t="n">
        <v>60</v>
      </c>
      <c r="G7" s="22" t="s">
        <v>57</v>
      </c>
      <c r="H7" s="21" t="n">
        <v>88</v>
      </c>
      <c r="I7" s="21" t="n">
        <v>59</v>
      </c>
      <c r="J7" s="21" t="n">
        <v>63</v>
      </c>
      <c r="K7" s="21" t="n">
        <v>18</v>
      </c>
      <c r="L7" s="17" t="n">
        <v>216</v>
      </c>
      <c r="M7" s="22" t="n">
        <f aca="true">IFERROR(IF($K7="","",IF($K7=0,AVERAGEIFS($H7:$J7,$H7:$J7,"&lt;&gt;0",$H7:$J7,"&gt;"&amp;LARGE($H7:$J7,1)*0.1),(SUMIFS($H7:$J7,$H7:$J7,"&lt;&gt;0",$H7:$J7,"&gt;"&amp;LARGE($H7:$J7,1)*0.1)+($K7/DAY(TODAY())*(NETWORKDAYS.INTL(DATE(2021,MONTH(TODAY()),1),EOMONTH(DATE(2021,MONTH(TODAY()),1),0),1,1))))/(COUNTIFS($H7:$J7,"&lt;&gt;0",$H7:$J7,"&gt;"&amp;LARGE($H7:$J7,1)*0.1)+1))),0)</f>
        <v>85.5</v>
      </c>
      <c r="N7" s="22" t="n">
        <f aca="false">IF($M7="","",IF($M7=0,"-",(IF($L7=0,0,($L7))/$M7)*30))</f>
        <v>75.7894736842105</v>
      </c>
      <c r="O7" s="21" t="e">
        <f aca="false">#N/A</f>
        <v>#N/A</v>
      </c>
    </row>
    <row r="8" customFormat="false" ht="12.65" hidden="false" customHeight="false" outlineLevel="0" collapsed="false">
      <c r="A8" s="15" t="n">
        <v>414</v>
      </c>
      <c r="B8" s="15" t="s">
        <v>19</v>
      </c>
      <c r="C8" s="16" t="n">
        <v>400010559</v>
      </c>
      <c r="D8" s="16" t="s">
        <v>58</v>
      </c>
      <c r="E8" s="16" t="n">
        <v>7898902180752</v>
      </c>
      <c r="F8" s="16" t="n">
        <v>60</v>
      </c>
      <c r="G8" s="16" t="s">
        <v>59</v>
      </c>
      <c r="H8" s="15" t="n">
        <v>0</v>
      </c>
      <c r="I8" s="15" t="n">
        <v>0</v>
      </c>
      <c r="J8" s="15" t="n">
        <v>0</v>
      </c>
      <c r="K8" s="15" t="n">
        <v>0</v>
      </c>
      <c r="L8" s="17" t="n">
        <v>0</v>
      </c>
      <c r="M8" s="16" t="n">
        <f aca="true">IFERROR(IF($K8="","",IF($K8=0,AVERAGEIFS($H8:$J8,$H8:$J8,"&lt;&gt;0",$H8:$J8,"&gt;"&amp;LARGE($H8:$J8,1)*0.1),(SUMIFS($H8:$J8,$H8:$J8,"&lt;&gt;0",$H8:$J8,"&gt;"&amp;LARGE($H8:$J8,1)*0.1)+($K8/DAY(TODAY())*(NETWORKDAYS.INTL(DATE(2021,MONTH(TODAY()),1),EOMONTH(DATE(2021,MONTH(TODAY()),1),0),1,1))))/(COUNTIFS($H8:$J8,"&lt;&gt;0",$H8:$J8,"&gt;"&amp;LARGE($H8:$J8,1)*0.1)+1))),0)</f>
        <v>0</v>
      </c>
      <c r="N8" s="16" t="str">
        <f aca="false">IF($M8="","",IF($M8=0,"-",(IF($L8=0,0,($L8))/$M8)*30))</f>
        <v>-</v>
      </c>
      <c r="O8" s="15" t="e">
        <f aca="false">#N/A</f>
        <v>#N/A</v>
      </c>
    </row>
    <row r="9" customFormat="false" ht="12.65" hidden="false" customHeight="false" outlineLevel="0" collapsed="false">
      <c r="A9" s="15" t="n">
        <v>414</v>
      </c>
      <c r="B9" s="15" t="s">
        <v>19</v>
      </c>
      <c r="C9" s="16" t="n">
        <v>400010433</v>
      </c>
      <c r="D9" s="16" t="s">
        <v>60</v>
      </c>
      <c r="E9" s="16" t="n">
        <v>7898902180981</v>
      </c>
      <c r="F9" s="16" t="n">
        <v>12</v>
      </c>
      <c r="G9" s="16" t="s">
        <v>61</v>
      </c>
      <c r="H9" s="15" t="n">
        <v>15</v>
      </c>
      <c r="I9" s="15" t="n">
        <v>81</v>
      </c>
      <c r="J9" s="15" t="n">
        <v>68</v>
      </c>
      <c r="K9" s="15" t="n">
        <v>172</v>
      </c>
      <c r="L9" s="17" t="n">
        <v>68</v>
      </c>
      <c r="M9" s="16" t="n">
        <f aca="true">IFERROR(IF($K9="","",IF($K9=0,AVERAGEIFS($H9:$J9,$H9:$J9,"&lt;&gt;0",$H9:$J9,"&gt;"&amp;LARGE($H9:$J9,1)*0.1),(SUMIFS($H9:$J9,$H9:$J9,"&lt;&gt;0",$H9:$J9,"&gt;"&amp;LARGE($H9:$J9,1)*0.1)+($K9/DAY(TODAY())*(NETWORKDAYS.INTL(DATE(2021,MONTH(TODAY()),1),EOMONTH(DATE(2021,MONTH(TODAY()),1),0),1,1))))/(COUNTIFS($H9:$J9,"&lt;&gt;0",$H9:$J9,"&gt;"&amp;LARGE($H9:$J9,1)*0.1)+1))),0)</f>
        <v>356.333333333333</v>
      </c>
      <c r="N9" s="16" t="n">
        <f aca="false">IF($M9="","",IF($M9=0,"-",(IF($L9=0,0,($L9))/$M9)*30))</f>
        <v>5.72497661365762</v>
      </c>
      <c r="O9" s="15" t="e">
        <f aca="false">#N/A</f>
        <v>#N/A</v>
      </c>
    </row>
  </sheetData>
  <mergeCells count="3">
    <mergeCell ref="A1:B1"/>
    <mergeCell ref="C1:G1"/>
    <mergeCell ref="H1:K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false" defaultGridColor="true" view="normal" topLeftCell="C1" colorId="64" zoomScale="100" zoomScaleNormal="100" zoomScalePageLayoutView="100" workbookViewId="0">
      <selection pane="topLeft" activeCell="G20" activeCellId="0" sqref="G20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10.44"/>
    <col collapsed="false" customWidth="true" hidden="false" outlineLevel="0" max="2" min="2" style="0" width="11.11"/>
    <col collapsed="false" customWidth="true" hidden="false" outlineLevel="0" max="4" min="4" style="0" width="10.88"/>
    <col collapsed="false" customWidth="true" hidden="false" outlineLevel="0" max="5" min="5" style="0" width="12.34"/>
    <col collapsed="false" customWidth="true" hidden="false" outlineLevel="0" max="7" min="7" style="0" width="59.22"/>
  </cols>
  <sheetData>
    <row r="1" customFormat="false" ht="12.65" hidden="false" customHeight="true" outlineLevel="0" collapsed="false">
      <c r="A1" s="10" t="s">
        <v>32</v>
      </c>
      <c r="B1" s="10"/>
      <c r="C1" s="11" t="s">
        <v>33</v>
      </c>
      <c r="D1" s="11"/>
      <c r="E1" s="11"/>
      <c r="F1" s="11"/>
      <c r="G1" s="11"/>
      <c r="H1" s="10" t="s">
        <v>34</v>
      </c>
      <c r="I1" s="10"/>
      <c r="J1" s="10"/>
      <c r="K1" s="10"/>
      <c r="L1" s="10" t="s">
        <v>35</v>
      </c>
      <c r="M1" s="10" t="s">
        <v>35</v>
      </c>
      <c r="N1" s="10" t="s">
        <v>35</v>
      </c>
      <c r="O1" s="10" t="s">
        <v>35</v>
      </c>
    </row>
    <row r="2" customFormat="false" ht="12.65" hidden="false" customHeight="false" outlineLevel="0" collapsed="false">
      <c r="A2" s="10"/>
      <c r="B2" s="10"/>
      <c r="C2" s="12"/>
      <c r="D2" s="12"/>
      <c r="E2" s="12"/>
      <c r="F2" s="12"/>
      <c r="G2" s="12"/>
      <c r="H2" s="10" t="n">
        <f aca="false">SUBTOTAL(9,H4:H9)</f>
        <v>1709</v>
      </c>
      <c r="I2" s="10" t="n">
        <f aca="false">SUBTOTAL(9,I4:I9)</f>
        <v>1964</v>
      </c>
      <c r="J2" s="10" t="n">
        <f aca="false">SUBTOTAL(9,J4:J9)</f>
        <v>1731</v>
      </c>
      <c r="K2" s="10" t="n">
        <f aca="false">SUBTOTAL(9,K4:K9)</f>
        <v>1102</v>
      </c>
      <c r="L2" s="10" t="n">
        <f aca="false">SUBTOTAL(9,L4:L9)</f>
        <v>5577</v>
      </c>
      <c r="M2" s="10"/>
      <c r="N2" s="10"/>
      <c r="O2" s="10"/>
    </row>
    <row r="3" customFormat="false" ht="23.85" hidden="false" customHeight="false" outlineLevel="0" collapsed="false">
      <c r="A3" s="13" t="s">
        <v>36</v>
      </c>
      <c r="B3" s="13" t="s">
        <v>37</v>
      </c>
      <c r="C3" s="14" t="s">
        <v>38</v>
      </c>
      <c r="D3" s="14" t="s">
        <v>39</v>
      </c>
      <c r="E3" s="14" t="s">
        <v>13</v>
      </c>
      <c r="F3" s="14" t="s">
        <v>40</v>
      </c>
      <c r="G3" s="14" t="s">
        <v>41</v>
      </c>
      <c r="H3" s="13" t="s">
        <v>42</v>
      </c>
      <c r="I3" s="13" t="s">
        <v>43</v>
      </c>
      <c r="J3" s="13" t="s">
        <v>44</v>
      </c>
      <c r="K3" s="13" t="s">
        <v>45</v>
      </c>
      <c r="L3" s="13" t="s">
        <v>46</v>
      </c>
      <c r="M3" s="13" t="s">
        <v>47</v>
      </c>
      <c r="N3" s="13" t="s">
        <v>48</v>
      </c>
      <c r="O3" s="13" t="s">
        <v>49</v>
      </c>
    </row>
    <row r="4" customFormat="false" ht="12.65" hidden="false" customHeight="false" outlineLevel="0" collapsed="false">
      <c r="A4" s="15" t="n">
        <v>414</v>
      </c>
      <c r="B4" s="15" t="s">
        <v>19</v>
      </c>
      <c r="C4" s="16" t="n">
        <v>400010560</v>
      </c>
      <c r="D4" s="16" t="s">
        <v>50</v>
      </c>
      <c r="E4" s="16" t="n">
        <v>7898902180998</v>
      </c>
      <c r="F4" s="16" t="n">
        <v>60</v>
      </c>
      <c r="G4" s="16" t="s">
        <v>51</v>
      </c>
      <c r="H4" s="15" t="n">
        <v>596</v>
      </c>
      <c r="I4" s="15" t="n">
        <v>466</v>
      </c>
      <c r="J4" s="15" t="n">
        <v>426</v>
      </c>
      <c r="K4" s="15" t="n">
        <v>257</v>
      </c>
      <c r="L4" s="20" t="n">
        <v>1249</v>
      </c>
      <c r="M4" s="16" t="n">
        <f aca="true">IFERROR(IF($K4="","",IF($K4=0,AVERAGEIFS($H4:$J4,$H4:$J4,"&lt;&gt;0",$H4:$J4,"&gt;"&amp;LARGE($H4:$J4,1)*0.1),(SUMIFS($H4:$J4,$H4:$J4,"&lt;&gt;0",$H4:$J4,"&gt;"&amp;LARGE($H4:$J4,1)*0.1)+($K4/DAY(TODAY())*(NETWORKDAYS.INTL(DATE(2021,MONTH(TODAY()),1),EOMONTH(DATE(2021,MONTH(TODAY()),1),0),1,1))))/(COUNTIFS($H4:$J4,"&lt;&gt;0",$H4:$J4,"&gt;"&amp;LARGE($H4:$J4,1)*0.1)+1))),0)</f>
        <v>843.166666666667</v>
      </c>
      <c r="N4" s="16" t="n">
        <f aca="false">IF($M4="","",IF($M4=0,"-",(IF($L4=0,0,($L4))/$M4)*30))</f>
        <v>44.4396125716545</v>
      </c>
      <c r="O4" s="15" t="s">
        <v>62</v>
      </c>
    </row>
    <row r="5" customFormat="false" ht="12.65" hidden="false" customHeight="false" outlineLevel="0" collapsed="false">
      <c r="A5" s="18" t="n">
        <v>414</v>
      </c>
      <c r="B5" s="18" t="s">
        <v>19</v>
      </c>
      <c r="C5" s="19" t="n">
        <v>400017529</v>
      </c>
      <c r="D5" s="19" t="s">
        <v>52</v>
      </c>
      <c r="E5" s="19" t="n">
        <v>7898902180387</v>
      </c>
      <c r="F5" s="19" t="n">
        <v>60</v>
      </c>
      <c r="G5" s="19" t="s">
        <v>53</v>
      </c>
      <c r="H5" s="18" t="n">
        <v>0</v>
      </c>
      <c r="I5" s="18" t="n">
        <v>9</v>
      </c>
      <c r="J5" s="18" t="n">
        <v>17</v>
      </c>
      <c r="K5" s="18" t="n">
        <v>0</v>
      </c>
      <c r="L5" s="20" t="n">
        <v>370</v>
      </c>
      <c r="M5" s="19" t="n">
        <f aca="true">IFERROR(IF($K5="","",IF($K5=0,AVERAGEIFS($H5:$J5,$H5:$J5,"&lt;&gt;0",$H5:$J5,"&gt;"&amp;LARGE($H5:$J5,1)*0.1),(SUMIFS($H5:$J5,$H5:$J5,"&lt;&gt;0",$H5:$J5,"&gt;"&amp;LARGE($H5:$J5,1)*0.1)+($K5/DAY(TODAY())*(NETWORKDAYS.INTL(DATE(2021,MONTH(TODAY()),1),EOMONTH(DATE(2021,MONTH(TODAY()),1),0),1,1))))/(COUNTIFS($H5:$J5,"&lt;&gt;0",$H5:$J5,"&gt;"&amp;LARGE($H5:$J5,1)*0.1)+1))),0)</f>
        <v>13</v>
      </c>
      <c r="N5" s="19" t="n">
        <f aca="false">IF($M5="","",IF($M5=0,"-",(IF($L5=0,0,($L5))/$M5)*30))</f>
        <v>853.846153846154</v>
      </c>
      <c r="O5" s="18" t="s">
        <v>63</v>
      </c>
    </row>
    <row r="6" customFormat="false" ht="12.65" hidden="false" customHeight="false" outlineLevel="0" collapsed="false">
      <c r="A6" s="15" t="n">
        <v>414</v>
      </c>
      <c r="B6" s="15" t="s">
        <v>19</v>
      </c>
      <c r="C6" s="16" t="n">
        <v>400015639</v>
      </c>
      <c r="D6" s="16" t="s">
        <v>54</v>
      </c>
      <c r="E6" s="16" t="n">
        <v>7898902180134</v>
      </c>
      <c r="F6" s="16" t="n">
        <v>60</v>
      </c>
      <c r="G6" s="16" t="s">
        <v>55</v>
      </c>
      <c r="H6" s="15" t="n">
        <v>1037</v>
      </c>
      <c r="I6" s="15" t="n">
        <v>1326</v>
      </c>
      <c r="J6" s="15" t="n">
        <v>1198</v>
      </c>
      <c r="K6" s="15" t="n">
        <v>738</v>
      </c>
      <c r="L6" s="20" t="n">
        <v>3272</v>
      </c>
      <c r="M6" s="16" t="n">
        <f aca="true">IFERROR(IF($K6="","",IF($K6=0,AVERAGEIFS($H6:$J6,$H6:$J6,"&lt;&gt;0",$H6:$J6,"&gt;"&amp;LARGE($H6:$J6,1)*0.1),(SUMIFS($H6:$J6,$H6:$J6,"&lt;&gt;0",$H6:$J6,"&gt;"&amp;LARGE($H6:$J6,1)*0.1)+($K6/DAY(TODAY())*(NETWORKDAYS.INTL(DATE(2021,MONTH(TODAY()),1),EOMONTH(DATE(2021,MONTH(TODAY()),1),0),1,1))))/(COUNTIFS($H6:$J6,"&lt;&gt;0",$H6:$J6,"&gt;"&amp;LARGE($H6:$J6,1)*0.1)+1))),0)</f>
        <v>2243.25</v>
      </c>
      <c r="N6" s="16" t="n">
        <f aca="false">IF($M6="","",IF($M6=0,"-",(IF($L6=0,0,($L6))/$M6)*30))</f>
        <v>43.7579404881311</v>
      </c>
      <c r="O6" s="15" t="s">
        <v>64</v>
      </c>
    </row>
    <row r="7" customFormat="false" ht="12.65" hidden="false" customHeight="false" outlineLevel="0" collapsed="false">
      <c r="A7" s="23" t="n">
        <v>414</v>
      </c>
      <c r="B7" s="23" t="s">
        <v>19</v>
      </c>
      <c r="C7" s="24" t="n">
        <v>400010558</v>
      </c>
      <c r="D7" s="24" t="s">
        <v>56</v>
      </c>
      <c r="E7" s="24" t="n">
        <v>7898902180745</v>
      </c>
      <c r="F7" s="24" t="n">
        <v>60</v>
      </c>
      <c r="G7" s="24" t="s">
        <v>57</v>
      </c>
      <c r="H7" s="23" t="n">
        <v>50</v>
      </c>
      <c r="I7" s="23" t="n">
        <v>77</v>
      </c>
      <c r="J7" s="23" t="n">
        <v>51</v>
      </c>
      <c r="K7" s="23" t="n">
        <v>75</v>
      </c>
      <c r="L7" s="20" t="n">
        <v>444</v>
      </c>
      <c r="M7" s="24" t="n">
        <f aca="true">IFERROR(IF($K7="","",IF($K7=0,AVERAGEIFS($H7:$J7,$H7:$J7,"&lt;&gt;0",$H7:$J7,"&gt;"&amp;LARGE($H7:$J7,1)*0.1),(SUMIFS($H7:$J7,$H7:$J7,"&lt;&gt;0",$H7:$J7,"&gt;"&amp;LARGE($H7:$J7,1)*0.1)+($K7/DAY(TODAY())*(NETWORKDAYS.INTL(DATE(2021,MONTH(TODAY()),1),EOMONTH(DATE(2021,MONTH(TODAY()),1),0),1,1))))/(COUNTIFS($H7:$J7,"&lt;&gt;0",$H7:$J7,"&gt;"&amp;LARGE($H7:$J7,1)*0.1)+1))),0)</f>
        <v>182</v>
      </c>
      <c r="N7" s="24" t="n">
        <f aca="false">IF($M7="","",IF($M7=0,"-",(IF($L7=0,0,($L7))/$M7)*30))</f>
        <v>73.1868131868132</v>
      </c>
      <c r="O7" s="23" t="s">
        <v>63</v>
      </c>
    </row>
    <row r="8" customFormat="false" ht="12.65" hidden="false" customHeight="false" outlineLevel="0" collapsed="false">
      <c r="A8" s="15" t="n">
        <v>414</v>
      </c>
      <c r="B8" s="15" t="s">
        <v>19</v>
      </c>
      <c r="C8" s="16" t="n">
        <v>400010559</v>
      </c>
      <c r="D8" s="16" t="s">
        <v>58</v>
      </c>
      <c r="E8" s="16" t="n">
        <v>7898902180752</v>
      </c>
      <c r="F8" s="16" t="n">
        <v>60</v>
      </c>
      <c r="G8" s="16" t="s">
        <v>59</v>
      </c>
      <c r="H8" s="15" t="n">
        <v>0</v>
      </c>
      <c r="I8" s="15" t="n">
        <v>0</v>
      </c>
      <c r="J8" s="15" t="n">
        <v>0</v>
      </c>
      <c r="K8" s="15" t="n">
        <v>0</v>
      </c>
      <c r="L8" s="20" t="n">
        <v>0</v>
      </c>
      <c r="M8" s="16" t="n">
        <f aca="true">IFERROR(IF($K8="","",IF($K8=0,AVERAGEIFS($H8:$J8,$H8:$J8,"&lt;&gt;0",$H8:$J8,"&gt;"&amp;LARGE($H8:$J8,1)*0.1),(SUMIFS($H8:$J8,$H8:$J8,"&lt;&gt;0",$H8:$J8,"&gt;"&amp;LARGE($H8:$J8,1)*0.1)+($K8/DAY(TODAY())*(NETWORKDAYS.INTL(DATE(2021,MONTH(TODAY()),1),EOMONTH(DATE(2021,MONTH(TODAY()),1),0),1,1))))/(COUNTIFS($H8:$J8,"&lt;&gt;0",$H8:$J8,"&gt;"&amp;LARGE($H8:$J8,1)*0.1)+1))),0)</f>
        <v>0</v>
      </c>
      <c r="N8" s="16" t="str">
        <f aca="false">IF($M8="","",IF($M8=0,"-",(IF($L8=0,0,($L8))/$M8)*30))</f>
        <v>-</v>
      </c>
      <c r="O8" s="15" t="s">
        <v>63</v>
      </c>
    </row>
    <row r="9" customFormat="false" ht="12.65" hidden="false" customHeight="false" outlineLevel="0" collapsed="false">
      <c r="A9" s="21" t="n">
        <v>414</v>
      </c>
      <c r="B9" s="21" t="s">
        <v>19</v>
      </c>
      <c r="C9" s="22" t="n">
        <v>400010433</v>
      </c>
      <c r="D9" s="22" t="s">
        <v>60</v>
      </c>
      <c r="E9" s="22" t="n">
        <v>7898902180981</v>
      </c>
      <c r="F9" s="22" t="n">
        <v>12</v>
      </c>
      <c r="G9" s="22" t="s">
        <v>61</v>
      </c>
      <c r="H9" s="21" t="n">
        <v>26</v>
      </c>
      <c r="I9" s="21" t="n">
        <v>86</v>
      </c>
      <c r="J9" s="21" t="n">
        <v>39</v>
      </c>
      <c r="K9" s="21" t="n">
        <v>32</v>
      </c>
      <c r="L9" s="20" t="n">
        <v>242</v>
      </c>
      <c r="M9" s="22" t="n">
        <f aca="true">IFERROR(IF($K9="","",IF($K9=0,AVERAGEIFS($H9:$J9,$H9:$J9,"&lt;&gt;0",$H9:$J9,"&gt;"&amp;LARGE($H9:$J9,1)*0.1),(SUMIFS($H9:$J9,$H9:$J9,"&lt;&gt;0",$H9:$J9,"&gt;"&amp;LARGE($H9:$J9,1)*0.1)+($K9/DAY(TODAY())*(NETWORKDAYS.INTL(DATE(2021,MONTH(TODAY()),1),EOMONTH(DATE(2021,MONTH(TODAY()),1),0),1,1))))/(COUNTIFS($H9:$J9,"&lt;&gt;0",$H9:$J9,"&gt;"&amp;LARGE($H9:$J9,1)*0.1)+1))),0)</f>
        <v>96.4166666666667</v>
      </c>
      <c r="N9" s="22" t="n">
        <f aca="false">IF($M9="","",IF($M9=0,"-",(IF($L9=0,0,($L9))/$M9)*30))</f>
        <v>75.2981849611063</v>
      </c>
      <c r="O9" s="21" t="s">
        <v>63</v>
      </c>
    </row>
  </sheetData>
  <mergeCells count="3">
    <mergeCell ref="A1:B1"/>
    <mergeCell ref="C1:G1"/>
    <mergeCell ref="H1:K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171875" defaultRowHeight="9.75" customHeight="true" zeroHeight="false" outlineLevelRow="0" outlineLevelCol="0"/>
  <cols>
    <col collapsed="false" customWidth="true" hidden="false" outlineLevel="0" max="2" min="2" style="0" width="43"/>
    <col collapsed="false" customWidth="true" hidden="false" outlineLevel="0" max="11" min="11" style="0" width="14.11"/>
    <col collapsed="false" customWidth="true" hidden="false" outlineLevel="0" max="13" min="12" style="0" width="10.56"/>
  </cols>
  <sheetData>
    <row r="1" customFormat="false" ht="13.8" hidden="false" customHeight="false" outlineLevel="0" collapsed="false">
      <c r="A1" s="25" t="s">
        <v>38</v>
      </c>
      <c r="B1" s="25" t="s">
        <v>65</v>
      </c>
      <c r="C1" s="25" t="s">
        <v>66</v>
      </c>
      <c r="D1" s="25" t="s">
        <v>67</v>
      </c>
      <c r="E1" s="25" t="s">
        <v>35</v>
      </c>
      <c r="F1" s="26" t="s">
        <v>68</v>
      </c>
      <c r="G1" s="26" t="s">
        <v>69</v>
      </c>
      <c r="H1" s="26" t="s">
        <v>70</v>
      </c>
      <c r="I1" s="26" t="s">
        <v>71</v>
      </c>
      <c r="J1" s="25" t="s">
        <v>72</v>
      </c>
      <c r="K1" s="25" t="s">
        <v>13</v>
      </c>
      <c r="L1" s="25" t="s">
        <v>73</v>
      </c>
      <c r="M1" s="25" t="s">
        <v>74</v>
      </c>
    </row>
    <row r="2" customFormat="false" ht="13.8" hidden="false" customHeight="false" outlineLevel="0" collapsed="false">
      <c r="A2" s="25" t="n">
        <v>13508</v>
      </c>
      <c r="B2" s="25" t="s">
        <v>75</v>
      </c>
      <c r="C2" s="26" t="s">
        <v>76</v>
      </c>
      <c r="D2" s="25" t="n">
        <v>60</v>
      </c>
      <c r="E2" s="27" t="n">
        <v>721</v>
      </c>
      <c r="F2" s="25" t="n">
        <v>695</v>
      </c>
      <c r="G2" s="25" t="n">
        <v>126</v>
      </c>
      <c r="H2" s="25" t="n">
        <v>413</v>
      </c>
      <c r="I2" s="25" t="n">
        <v>112</v>
      </c>
      <c r="J2" s="25" t="n">
        <v>411</v>
      </c>
      <c r="K2" s="28" t="n">
        <v>7898902180998</v>
      </c>
      <c r="L2" s="26" t="s">
        <v>77</v>
      </c>
      <c r="M2" s="26" t="s">
        <v>78</v>
      </c>
    </row>
    <row r="3" customFormat="false" ht="13.8" hidden="false" customHeight="false" outlineLevel="0" collapsed="false">
      <c r="A3" s="25" t="n">
        <v>13874</v>
      </c>
      <c r="B3" s="25" t="s">
        <v>79</v>
      </c>
      <c r="C3" s="26" t="s">
        <v>80</v>
      </c>
      <c r="D3" s="25" t="n">
        <v>60</v>
      </c>
      <c r="E3" s="27" t="n">
        <v>128</v>
      </c>
      <c r="F3" s="29" t="n">
        <v>0</v>
      </c>
      <c r="G3" s="29" t="n">
        <v>0</v>
      </c>
      <c r="H3" s="25" t="n">
        <v>16</v>
      </c>
      <c r="I3" s="25" t="n">
        <v>36</v>
      </c>
      <c r="J3" s="25" t="n">
        <v>5</v>
      </c>
      <c r="K3" s="28" t="n">
        <v>7898902180387</v>
      </c>
      <c r="L3" s="26" t="s">
        <v>81</v>
      </c>
      <c r="M3" s="26" t="s">
        <v>82</v>
      </c>
    </row>
    <row r="4" customFormat="false" ht="13.8" hidden="false" customHeight="false" outlineLevel="0" collapsed="false">
      <c r="A4" s="25" t="n">
        <v>13510</v>
      </c>
      <c r="B4" s="25" t="s">
        <v>83</v>
      </c>
      <c r="C4" s="26" t="s">
        <v>76</v>
      </c>
      <c r="D4" s="25" t="n">
        <v>60</v>
      </c>
      <c r="E4" s="27" t="n">
        <v>622</v>
      </c>
      <c r="F4" s="25" t="n">
        <v>955</v>
      </c>
      <c r="G4" s="25" t="n">
        <v>120</v>
      </c>
      <c r="H4" s="25" t="n">
        <v>687</v>
      </c>
      <c r="I4" s="25" t="n">
        <v>382</v>
      </c>
      <c r="J4" s="25" t="n">
        <v>587</v>
      </c>
      <c r="K4" s="28" t="n">
        <v>7898902180134</v>
      </c>
      <c r="L4" s="26" t="s">
        <v>84</v>
      </c>
      <c r="M4" s="26" t="s">
        <v>78</v>
      </c>
    </row>
    <row r="5" customFormat="false" ht="13.8" hidden="false" customHeight="false" outlineLevel="0" collapsed="false">
      <c r="A5" s="25" t="n">
        <v>13507</v>
      </c>
      <c r="B5" s="25" t="s">
        <v>85</v>
      </c>
      <c r="C5" s="26" t="s">
        <v>80</v>
      </c>
      <c r="D5" s="25" t="n">
        <v>60</v>
      </c>
      <c r="E5" s="27" t="n">
        <v>300</v>
      </c>
      <c r="F5" s="25" t="n">
        <v>168</v>
      </c>
      <c r="G5" s="25" t="n">
        <v>38</v>
      </c>
      <c r="H5" s="25" t="n">
        <v>263</v>
      </c>
      <c r="I5" s="29" t="n">
        <v>0</v>
      </c>
      <c r="J5" s="25" t="n">
        <v>156</v>
      </c>
      <c r="K5" s="28" t="n">
        <v>7898902180745</v>
      </c>
      <c r="L5" s="26" t="s">
        <v>86</v>
      </c>
      <c r="M5" s="26" t="s">
        <v>78</v>
      </c>
    </row>
    <row r="6" customFormat="false" ht="13.8" hidden="false" customHeight="false" outlineLevel="0" collapsed="false">
      <c r="A6" s="25" t="n">
        <v>13509</v>
      </c>
      <c r="B6" s="25" t="s">
        <v>87</v>
      </c>
      <c r="C6" s="26" t="s">
        <v>80</v>
      </c>
      <c r="D6" s="25" t="n">
        <v>12</v>
      </c>
      <c r="E6" s="27" t="n">
        <v>69</v>
      </c>
      <c r="F6" s="25" t="n">
        <v>44</v>
      </c>
      <c r="G6" s="25" t="n">
        <v>54</v>
      </c>
      <c r="H6" s="25" t="n">
        <v>35</v>
      </c>
      <c r="I6" s="25" t="n">
        <v>36</v>
      </c>
      <c r="J6" s="25" t="n">
        <v>44</v>
      </c>
      <c r="K6" s="28" t="n">
        <v>7898902180981</v>
      </c>
      <c r="L6" s="26" t="s">
        <v>88</v>
      </c>
      <c r="M6" s="26" t="s">
        <v>78</v>
      </c>
    </row>
    <row r="7" customFormat="false" ht="13.8" hidden="false" customHeight="false" outlineLevel="0" collapsed="false">
      <c r="A7" s="25"/>
      <c r="B7" s="25" t="s">
        <v>89</v>
      </c>
      <c r="C7" s="25"/>
      <c r="D7" s="25"/>
      <c r="E7" s="27" t="n">
        <v>1840</v>
      </c>
      <c r="F7" s="25" t="n">
        <v>1862</v>
      </c>
      <c r="G7" s="25" t="n">
        <v>338</v>
      </c>
      <c r="H7" s="25" t="n">
        <v>1414</v>
      </c>
      <c r="I7" s="25" t="n">
        <v>566</v>
      </c>
      <c r="J7" s="25"/>
      <c r="K7" s="25"/>
      <c r="L7" s="25"/>
      <c r="M7" s="2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8.6171875" defaultRowHeight="9.75" customHeight="true" zeroHeight="false" outlineLevelRow="0" outlineLevelCol="0"/>
  <cols>
    <col collapsed="false" customWidth="true" hidden="false" outlineLevel="0" max="2" min="2" style="0" width="43.44"/>
    <col collapsed="false" customWidth="true" hidden="false" outlineLevel="0" max="11" min="11" style="0" width="14.11"/>
    <col collapsed="false" customWidth="true" hidden="false" outlineLevel="0" max="13" min="12" style="0" width="10.56"/>
  </cols>
  <sheetData>
    <row r="1" customFormat="false" ht="13.8" hidden="false" customHeight="false" outlineLevel="0" collapsed="false">
      <c r="A1" s="25" t="s">
        <v>90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customFormat="false" ht="13.8" hidden="false" customHeight="false" outlineLevel="0" collapsed="false">
      <c r="A2" s="25" t="s">
        <v>38</v>
      </c>
      <c r="B2" s="25" t="s">
        <v>65</v>
      </c>
      <c r="C2" s="25" t="s">
        <v>66</v>
      </c>
      <c r="D2" s="25" t="s">
        <v>67</v>
      </c>
      <c r="E2" s="25" t="s">
        <v>35</v>
      </c>
      <c r="F2" s="26" t="s">
        <v>68</v>
      </c>
      <c r="G2" s="26" t="s">
        <v>69</v>
      </c>
      <c r="H2" s="26" t="s">
        <v>70</v>
      </c>
      <c r="I2" s="26" t="s">
        <v>71</v>
      </c>
      <c r="J2" s="25" t="s">
        <v>72</v>
      </c>
      <c r="K2" s="25" t="s">
        <v>13</v>
      </c>
      <c r="L2" s="25" t="s">
        <v>73</v>
      </c>
      <c r="M2" s="25" t="s">
        <v>74</v>
      </c>
    </row>
    <row r="3" customFormat="false" ht="13.8" hidden="false" customHeight="false" outlineLevel="0" collapsed="false">
      <c r="A3" s="25" t="n">
        <v>23097</v>
      </c>
      <c r="B3" s="25" t="s">
        <v>75</v>
      </c>
      <c r="C3" s="26" t="s">
        <v>76</v>
      </c>
      <c r="D3" s="25" t="n">
        <v>60</v>
      </c>
      <c r="E3" s="30" t="n">
        <v>388</v>
      </c>
      <c r="F3" s="25" t="n">
        <v>207</v>
      </c>
      <c r="G3" s="25" t="n">
        <v>440</v>
      </c>
      <c r="H3" s="25" t="n">
        <v>210</v>
      </c>
      <c r="I3" s="25" t="n">
        <v>283</v>
      </c>
      <c r="J3" s="25" t="n">
        <v>306</v>
      </c>
      <c r="K3" s="28" t="n">
        <v>7898902180998</v>
      </c>
      <c r="L3" s="26" t="s">
        <v>91</v>
      </c>
      <c r="M3" s="26" t="s">
        <v>92</v>
      </c>
    </row>
    <row r="4" customFormat="false" ht="13.8" hidden="false" customHeight="false" outlineLevel="0" collapsed="false">
      <c r="A4" s="25" t="n">
        <v>23817</v>
      </c>
      <c r="B4" s="25" t="s">
        <v>79</v>
      </c>
      <c r="C4" s="26" t="s">
        <v>80</v>
      </c>
      <c r="D4" s="25" t="n">
        <v>60</v>
      </c>
      <c r="E4" s="30" t="n">
        <v>164</v>
      </c>
      <c r="F4" s="29" t="n">
        <v>0</v>
      </c>
      <c r="G4" s="29" t="n">
        <v>0</v>
      </c>
      <c r="H4" s="25" t="n">
        <v>14</v>
      </c>
      <c r="I4" s="25" t="n">
        <v>2</v>
      </c>
      <c r="J4" s="25" t="n">
        <v>4</v>
      </c>
      <c r="K4" s="28" t="n">
        <v>7898902180387</v>
      </c>
      <c r="L4" s="26" t="s">
        <v>93</v>
      </c>
      <c r="M4" s="26" t="s">
        <v>94</v>
      </c>
    </row>
    <row r="5" customFormat="false" ht="13.8" hidden="false" customHeight="false" outlineLevel="0" collapsed="false">
      <c r="A5" s="25" t="n">
        <v>23098</v>
      </c>
      <c r="B5" s="25" t="s">
        <v>83</v>
      </c>
      <c r="C5" s="26" t="s">
        <v>95</v>
      </c>
      <c r="D5" s="25" t="n">
        <v>60</v>
      </c>
      <c r="E5" s="30" t="n">
        <v>455</v>
      </c>
      <c r="F5" s="25" t="n">
        <v>331</v>
      </c>
      <c r="G5" s="25" t="n">
        <v>409</v>
      </c>
      <c r="H5" s="25" t="n">
        <v>463</v>
      </c>
      <c r="I5" s="25" t="n">
        <v>323</v>
      </c>
      <c r="J5" s="25" t="n">
        <v>444</v>
      </c>
      <c r="K5" s="28" t="n">
        <v>7898902180134</v>
      </c>
      <c r="L5" s="26" t="s">
        <v>96</v>
      </c>
      <c r="M5" s="26" t="s">
        <v>94</v>
      </c>
    </row>
    <row r="6" customFormat="false" ht="13.8" hidden="false" customHeight="false" outlineLevel="0" collapsed="false">
      <c r="A6" s="25" t="n">
        <v>23101</v>
      </c>
      <c r="B6" s="25" t="s">
        <v>85</v>
      </c>
      <c r="C6" s="26" t="s">
        <v>80</v>
      </c>
      <c r="D6" s="25" t="n">
        <v>60</v>
      </c>
      <c r="E6" s="30" t="n">
        <v>128</v>
      </c>
      <c r="F6" s="25" t="n">
        <v>83</v>
      </c>
      <c r="G6" s="25" t="n">
        <v>100</v>
      </c>
      <c r="H6" s="25" t="n">
        <v>230</v>
      </c>
      <c r="I6" s="25" t="n">
        <v>183</v>
      </c>
      <c r="J6" s="25" t="n">
        <v>152</v>
      </c>
      <c r="K6" s="28" t="n">
        <v>7898902180745</v>
      </c>
      <c r="L6" s="26" t="s">
        <v>97</v>
      </c>
      <c r="M6" s="26" t="s">
        <v>92</v>
      </c>
    </row>
    <row r="7" customFormat="false" ht="13.8" hidden="false" customHeight="false" outlineLevel="0" collapsed="false">
      <c r="A7" s="25" t="n">
        <v>23100</v>
      </c>
      <c r="B7" s="25" t="s">
        <v>87</v>
      </c>
      <c r="C7" s="26" t="s">
        <v>80</v>
      </c>
      <c r="D7" s="25" t="n">
        <v>12</v>
      </c>
      <c r="E7" s="30" t="n">
        <v>5</v>
      </c>
      <c r="F7" s="25" t="n">
        <v>52</v>
      </c>
      <c r="G7" s="25" t="n">
        <v>43</v>
      </c>
      <c r="H7" s="25" t="n">
        <v>26</v>
      </c>
      <c r="I7" s="25" t="n">
        <v>61</v>
      </c>
      <c r="J7" s="25" t="n">
        <v>48</v>
      </c>
      <c r="K7" s="28" t="n">
        <v>7898902180981</v>
      </c>
      <c r="L7" s="26" t="s">
        <v>98</v>
      </c>
      <c r="M7" s="26" t="s">
        <v>94</v>
      </c>
    </row>
    <row r="8" customFormat="false" ht="13.8" hidden="false" customHeight="false" outlineLevel="0" collapsed="false">
      <c r="A8" s="25"/>
      <c r="B8" s="25" t="s">
        <v>89</v>
      </c>
      <c r="C8" s="25"/>
      <c r="D8" s="25"/>
      <c r="E8" s="30" t="n">
        <v>1140</v>
      </c>
      <c r="F8" s="25" t="n">
        <v>673</v>
      </c>
      <c r="G8" s="25" t="n">
        <v>992</v>
      </c>
      <c r="H8" s="25" t="n">
        <v>943</v>
      </c>
      <c r="I8" s="25" t="n">
        <v>852</v>
      </c>
      <c r="J8" s="25"/>
      <c r="K8" s="25"/>
      <c r="L8" s="25"/>
      <c r="M8" s="2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.11"/>
    <col collapsed="false" customWidth="true" hidden="false" outlineLevel="0" max="3" min="3" style="0" width="48.89"/>
    <col collapsed="false" customWidth="true" hidden="false" outlineLevel="0" max="4" min="4" style="0" width="12.78"/>
    <col collapsed="false" customWidth="true" hidden="false" outlineLevel="0" max="5" min="5" style="0" width="12.56"/>
    <col collapsed="false" customWidth="true" hidden="false" outlineLevel="0" max="6" min="6" style="0" width="11.22"/>
    <col collapsed="false" customWidth="true" hidden="false" outlineLevel="0" max="7" min="7" style="0" width="16.22"/>
  </cols>
  <sheetData>
    <row r="1" customFormat="false" ht="12.65" hidden="false" customHeight="true" outlineLevel="0" collapsed="false">
      <c r="A1" s="31" t="s">
        <v>99</v>
      </c>
      <c r="B1" s="31" t="s">
        <v>13</v>
      </c>
      <c r="C1" s="31" t="s">
        <v>100</v>
      </c>
      <c r="D1" s="31" t="s">
        <v>101</v>
      </c>
      <c r="E1" s="31" t="s">
        <v>102</v>
      </c>
      <c r="F1" s="31" t="s">
        <v>103</v>
      </c>
      <c r="G1" s="31" t="s">
        <v>104</v>
      </c>
    </row>
    <row r="2" customFormat="false" ht="15.75" hidden="false" customHeight="true" outlineLevel="0" collapsed="false">
      <c r="A2" s="31"/>
      <c r="B2" s="31"/>
      <c r="C2" s="31"/>
      <c r="D2" s="31"/>
      <c r="E2" s="31"/>
      <c r="F2" s="31"/>
      <c r="G2" s="31" t="s">
        <v>105</v>
      </c>
    </row>
    <row r="3" customFormat="false" ht="12.65" hidden="false" customHeight="false" outlineLevel="0" collapsed="false">
      <c r="A3" s="31"/>
      <c r="B3" s="31"/>
      <c r="C3" s="31"/>
      <c r="D3" s="31"/>
      <c r="E3" s="31" t="n">
        <f aca="false">SUBTOTAL(9,E4:E8)</f>
        <v>11291</v>
      </c>
      <c r="F3" s="31" t="n">
        <f aca="false">SUBTOTAL(9,F4:F8)</f>
        <v>0</v>
      </c>
      <c r="G3" s="31" t="n">
        <f aca="false">SUBTOTAL(9,G4:G8)</f>
        <v>2258</v>
      </c>
    </row>
    <row r="4" customFormat="false" ht="12.65" hidden="false" customHeight="false" outlineLevel="0" collapsed="false">
      <c r="A4" s="32" t="n">
        <v>32384</v>
      </c>
      <c r="B4" s="32" t="n">
        <v>7898902180998</v>
      </c>
      <c r="C4" s="33" t="s">
        <v>106</v>
      </c>
      <c r="D4" s="34" t="s">
        <v>107</v>
      </c>
      <c r="E4" s="35" t="n">
        <v>2810</v>
      </c>
      <c r="F4" s="34" t="n">
        <v>0</v>
      </c>
      <c r="G4" s="34" t="n">
        <v>717</v>
      </c>
    </row>
    <row r="5" customFormat="false" ht="12.65" hidden="false" customHeight="false" outlineLevel="0" collapsed="false">
      <c r="A5" s="32" t="n">
        <v>32955</v>
      </c>
      <c r="B5" s="32" t="n">
        <v>7898902180387</v>
      </c>
      <c r="C5" s="36" t="s">
        <v>108</v>
      </c>
      <c r="D5" s="34" t="s">
        <v>107</v>
      </c>
      <c r="E5" s="35" t="n">
        <v>989</v>
      </c>
      <c r="F5" s="34" t="n">
        <v>0</v>
      </c>
      <c r="G5" s="34" t="n">
        <v>14</v>
      </c>
    </row>
    <row r="6" customFormat="false" ht="12.65" hidden="false" customHeight="false" outlineLevel="0" collapsed="false">
      <c r="A6" s="32" t="n">
        <v>32385</v>
      </c>
      <c r="B6" s="32" t="n">
        <v>7898902180134</v>
      </c>
      <c r="C6" s="33" t="s">
        <v>109</v>
      </c>
      <c r="D6" s="34" t="s">
        <v>107</v>
      </c>
      <c r="E6" s="35" t="n">
        <v>4527</v>
      </c>
      <c r="F6" s="34" t="n">
        <v>0</v>
      </c>
      <c r="G6" s="34" t="n">
        <v>1388</v>
      </c>
    </row>
    <row r="7" customFormat="false" ht="12.65" hidden="false" customHeight="false" outlineLevel="0" collapsed="false">
      <c r="A7" s="32" t="n">
        <v>32382</v>
      </c>
      <c r="B7" s="32" t="n">
        <v>7898902180745</v>
      </c>
      <c r="C7" s="33" t="s">
        <v>110</v>
      </c>
      <c r="D7" s="34" t="s">
        <v>107</v>
      </c>
      <c r="E7" s="35" t="n">
        <v>2702</v>
      </c>
      <c r="F7" s="34" t="n">
        <v>0</v>
      </c>
      <c r="G7" s="34" t="n">
        <v>74</v>
      </c>
    </row>
    <row r="8" customFormat="false" ht="12.65" hidden="false" customHeight="false" outlineLevel="0" collapsed="false">
      <c r="A8" s="32" t="n">
        <v>32383</v>
      </c>
      <c r="B8" s="32" t="n">
        <v>7898902180981</v>
      </c>
      <c r="C8" s="33" t="s">
        <v>111</v>
      </c>
      <c r="D8" s="34" t="s">
        <v>107</v>
      </c>
      <c r="E8" s="35" t="n">
        <v>263</v>
      </c>
      <c r="F8" s="34" t="n">
        <v>0</v>
      </c>
      <c r="G8" s="34" t="n">
        <v>65</v>
      </c>
    </row>
  </sheetData>
  <mergeCells count="6">
    <mergeCell ref="A1:A3"/>
    <mergeCell ref="B1:B3"/>
    <mergeCell ref="C1:C3"/>
    <mergeCell ref="D1:D3"/>
    <mergeCell ref="E1:E2"/>
    <mergeCell ref="F1:F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false" defaultGridColor="true" view="normal" topLeftCell="C1" colorId="64" zoomScale="100" zoomScaleNormal="100" zoomScalePageLayoutView="100" workbookViewId="0">
      <selection pane="topLeft" activeCell="O6" activeCellId="0" sqref="O6"/>
    </sheetView>
  </sheetViews>
  <sheetFormatPr defaultColWidth="9.109375" defaultRowHeight="18" customHeight="true" zeroHeight="false" outlineLevelRow="0" outlineLevelCol="0"/>
  <cols>
    <col collapsed="false" customWidth="true" hidden="false" outlineLevel="0" max="1" min="1" style="37" width="6.56"/>
    <col collapsed="false" customWidth="true" hidden="false" outlineLevel="0" max="2" min="2" style="37" width="15"/>
    <col collapsed="false" customWidth="true" hidden="false" outlineLevel="0" max="3" min="3" style="37" width="49.56"/>
    <col collapsed="false" customWidth="true" hidden="false" outlineLevel="0" max="4" min="4" style="37" width="15.11"/>
    <col collapsed="false" customWidth="true" hidden="false" outlineLevel="0" max="6" min="5" style="37" width="12"/>
    <col collapsed="false" customWidth="true" hidden="false" outlineLevel="0" max="7" min="7" style="37" width="11.44"/>
    <col collapsed="false" customWidth="true" hidden="false" outlineLevel="0" max="8" min="8" style="37" width="11.11"/>
    <col collapsed="false" customWidth="true" hidden="false" outlineLevel="0" max="9" min="9" style="37" width="13"/>
    <col collapsed="false" customWidth="true" hidden="false" outlineLevel="0" max="10" min="10" style="37" width="12.66"/>
    <col collapsed="false" customWidth="true" hidden="false" outlineLevel="0" max="11" min="11" style="37" width="11.56"/>
    <col collapsed="false" customWidth="true" hidden="false" outlineLevel="0" max="12" min="12" style="37" width="14.88"/>
    <col collapsed="false" customWidth="true" hidden="false" outlineLevel="0" max="13" min="13" style="37" width="11.56"/>
    <col collapsed="false" customWidth="true" hidden="false" outlineLevel="0" max="14" min="14" style="37" width="14.88"/>
    <col collapsed="false" customWidth="true" hidden="false" outlineLevel="0" max="15" min="15" style="37" width="11.56"/>
    <col collapsed="false" customWidth="true" hidden="false" outlineLevel="0" max="16" min="16" style="37" width="14.88"/>
    <col collapsed="false" customWidth="false" hidden="false" outlineLevel="0" max="16384" min="17" style="37" width="9.11"/>
  </cols>
  <sheetData>
    <row r="1" customFormat="false" ht="18" hidden="false" customHeight="true" outlineLevel="0" collapsed="false">
      <c r="A1" s="38" t="s">
        <v>112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customFormat="false" ht="18" hidden="false" customHeight="true" outlineLevel="0" collapsed="false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customFormat="false" ht="18" hidden="false" customHeight="true" outlineLevel="0" collapsed="false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</row>
    <row r="4" customFormat="false" ht="18" hidden="false" customHeight="true" outlineLevel="0" collapsed="false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</row>
    <row r="5" customFormat="false" ht="18" hidden="false" customHeight="true" outlineLevel="0" collapsed="false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customFormat="false" ht="18" hidden="false" customHeight="true" outlineLevel="0" collapsed="false">
      <c r="A6" s="31" t="s">
        <v>99</v>
      </c>
      <c r="B6" s="31" t="s">
        <v>13</v>
      </c>
      <c r="C6" s="31" t="s">
        <v>100</v>
      </c>
      <c r="D6" s="31" t="s">
        <v>101</v>
      </c>
      <c r="E6" s="31" t="s">
        <v>102</v>
      </c>
      <c r="F6" s="31" t="s">
        <v>103</v>
      </c>
      <c r="G6" s="31" t="s">
        <v>113</v>
      </c>
      <c r="H6" s="31"/>
      <c r="I6" s="31" t="s">
        <v>114</v>
      </c>
      <c r="J6" s="31"/>
      <c r="K6" s="31" t="s">
        <v>115</v>
      </c>
      <c r="L6" s="31"/>
      <c r="M6" s="31" t="s">
        <v>116</v>
      </c>
      <c r="N6" s="31"/>
      <c r="O6" s="31" t="s">
        <v>117</v>
      </c>
      <c r="P6" s="31"/>
    </row>
    <row r="7" customFormat="false" ht="18" hidden="false" customHeight="true" outlineLevel="0" collapsed="false">
      <c r="A7" s="31"/>
      <c r="B7" s="31"/>
      <c r="C7" s="31"/>
      <c r="D7" s="31"/>
      <c r="E7" s="31"/>
      <c r="F7" s="31"/>
      <c r="G7" s="31" t="s">
        <v>105</v>
      </c>
      <c r="H7" s="31" t="s">
        <v>118</v>
      </c>
      <c r="I7" s="31" t="s">
        <v>105</v>
      </c>
      <c r="J7" s="31" t="s">
        <v>118</v>
      </c>
      <c r="K7" s="31" t="s">
        <v>105</v>
      </c>
      <c r="L7" s="31" t="s">
        <v>118</v>
      </c>
      <c r="M7" s="31" t="s">
        <v>105</v>
      </c>
      <c r="N7" s="31" t="s">
        <v>118</v>
      </c>
      <c r="O7" s="31" t="s">
        <v>105</v>
      </c>
      <c r="P7" s="31" t="s">
        <v>118</v>
      </c>
    </row>
    <row r="8" s="40" customFormat="true" ht="18" hidden="false" customHeight="true" outlineLevel="0" collapsed="false">
      <c r="A8" s="31"/>
      <c r="B8" s="31"/>
      <c r="C8" s="31"/>
      <c r="D8" s="31"/>
      <c r="E8" s="31" t="n">
        <f aca="false">SUBTOTAL(9,E9:E13)</f>
        <v>3466</v>
      </c>
      <c r="F8" s="31" t="n">
        <f aca="false">SUBTOTAL(9,F9:F13)</f>
        <v>120</v>
      </c>
      <c r="G8" s="31" t="n">
        <f aca="false">SUBTOTAL(9,G9:G13)</f>
        <v>228</v>
      </c>
      <c r="H8" s="39" t="n">
        <f aca="false">SUBTOTAL(9,H9:H13)</f>
        <v>3269.9</v>
      </c>
      <c r="I8" s="31" t="n">
        <f aca="false">SUBTOTAL(9,I9:I13)</f>
        <v>1491</v>
      </c>
      <c r="J8" s="39" t="n">
        <f aca="false">SUBTOTAL(9,J9:J13)</f>
        <v>17410.96</v>
      </c>
      <c r="K8" s="31" t="n">
        <f aca="false">SUBTOTAL(9,K9:K13)</f>
        <v>656</v>
      </c>
      <c r="L8" s="39" t="n">
        <f aca="false">SUBTOTAL(9,L9:L13)</f>
        <v>8353.52</v>
      </c>
      <c r="M8" s="31" t="n">
        <f aca="false">SUBTOTAL(9,M9:M13)</f>
        <v>1152</v>
      </c>
      <c r="N8" s="39" t="n">
        <f aca="false">SUBTOTAL(9,N9:N13)</f>
        <v>16423.17</v>
      </c>
      <c r="O8" s="31" t="n">
        <f aca="false">SUBTOTAL(9,O9:O13)</f>
        <v>246</v>
      </c>
      <c r="P8" s="39" t="n">
        <f aca="false">SUBTOTAL(9,P9:P13)</f>
        <v>4086.45</v>
      </c>
    </row>
    <row r="9" s="40" customFormat="true" ht="18" hidden="false" customHeight="true" outlineLevel="0" collapsed="false">
      <c r="A9" s="32" t="n">
        <v>32384</v>
      </c>
      <c r="B9" s="32" t="n">
        <v>7898902180998</v>
      </c>
      <c r="C9" s="33" t="s">
        <v>106</v>
      </c>
      <c r="D9" s="34" t="s">
        <v>107</v>
      </c>
      <c r="E9" s="35" t="n">
        <v>617</v>
      </c>
      <c r="F9" s="34" t="n">
        <v>0</v>
      </c>
      <c r="G9" s="34" t="n">
        <v>48</v>
      </c>
      <c r="H9" s="41" t="n">
        <v>1120.22</v>
      </c>
      <c r="I9" s="34" t="n">
        <v>519</v>
      </c>
      <c r="J9" s="41" t="n">
        <v>7887.75</v>
      </c>
      <c r="K9" s="34" t="n">
        <v>208</v>
      </c>
      <c r="L9" s="41" t="n">
        <v>3668.22</v>
      </c>
      <c r="M9" s="34" t="n">
        <v>178</v>
      </c>
      <c r="N9" s="41" t="n">
        <v>4182.5</v>
      </c>
      <c r="O9" s="34" t="n">
        <v>85</v>
      </c>
      <c r="P9" s="41" t="n">
        <v>2341.34</v>
      </c>
    </row>
    <row r="10" s="40" customFormat="true" ht="18" hidden="false" customHeight="true" outlineLevel="0" collapsed="false">
      <c r="A10" s="32" t="n">
        <v>32955</v>
      </c>
      <c r="B10" s="32" t="n">
        <v>7898902180387</v>
      </c>
      <c r="C10" s="36" t="s">
        <v>108</v>
      </c>
      <c r="D10" s="34" t="s">
        <v>107</v>
      </c>
      <c r="E10" s="35" t="n">
        <v>557</v>
      </c>
      <c r="F10" s="34" t="n">
        <v>0</v>
      </c>
      <c r="G10" s="34" t="n">
        <v>0</v>
      </c>
      <c r="H10" s="41" t="n">
        <v>0</v>
      </c>
      <c r="I10" s="34" t="n">
        <v>0</v>
      </c>
      <c r="J10" s="41" t="n">
        <v>0</v>
      </c>
      <c r="K10" s="34" t="n">
        <v>0</v>
      </c>
      <c r="L10" s="41" t="n">
        <v>0</v>
      </c>
      <c r="M10" s="34" t="n">
        <v>37</v>
      </c>
      <c r="N10" s="41" t="n">
        <v>1172.64</v>
      </c>
      <c r="O10" s="34" t="n">
        <v>6</v>
      </c>
      <c r="P10" s="41" t="n">
        <v>200.34</v>
      </c>
    </row>
    <row r="11" s="40" customFormat="true" ht="18" hidden="false" customHeight="true" outlineLevel="0" collapsed="false">
      <c r="A11" s="32" t="n">
        <v>32385</v>
      </c>
      <c r="B11" s="32" t="n">
        <v>7898902180134</v>
      </c>
      <c r="C11" s="33" t="s">
        <v>109</v>
      </c>
      <c r="D11" s="34" t="s">
        <v>107</v>
      </c>
      <c r="E11" s="35" t="n">
        <v>1320</v>
      </c>
      <c r="F11" s="34" t="n">
        <v>120</v>
      </c>
      <c r="G11" s="34" t="n">
        <v>102</v>
      </c>
      <c r="H11" s="41" t="n">
        <v>870.01</v>
      </c>
      <c r="I11" s="34" t="n">
        <v>319</v>
      </c>
      <c r="J11" s="41" t="n">
        <v>2285.44</v>
      </c>
      <c r="K11" s="34" t="n">
        <v>215</v>
      </c>
      <c r="L11" s="41" t="n">
        <v>1756.8</v>
      </c>
      <c r="M11" s="34" t="n">
        <v>513</v>
      </c>
      <c r="N11" s="41" t="n">
        <v>4229.66</v>
      </c>
      <c r="O11" s="34" t="n">
        <v>139</v>
      </c>
      <c r="P11" s="41" t="n">
        <v>1273.56</v>
      </c>
    </row>
    <row r="12" s="40" customFormat="true" ht="18" hidden="false" customHeight="true" outlineLevel="0" collapsed="false">
      <c r="A12" s="32" t="n">
        <v>32382</v>
      </c>
      <c r="B12" s="32" t="n">
        <v>7898902180745</v>
      </c>
      <c r="C12" s="33" t="s">
        <v>110</v>
      </c>
      <c r="D12" s="34" t="s">
        <v>107</v>
      </c>
      <c r="E12" s="35" t="n">
        <v>360</v>
      </c>
      <c r="F12" s="34" t="n">
        <v>0</v>
      </c>
      <c r="G12" s="34" t="n">
        <v>30</v>
      </c>
      <c r="H12" s="41" t="n">
        <v>315.36</v>
      </c>
      <c r="I12" s="34" t="n">
        <v>243</v>
      </c>
      <c r="J12" s="41" t="n">
        <v>2149.06</v>
      </c>
      <c r="K12" s="34" t="n">
        <v>91</v>
      </c>
      <c r="L12" s="41" t="n">
        <v>852.09</v>
      </c>
      <c r="M12" s="34" t="n">
        <v>151</v>
      </c>
      <c r="N12" s="41" t="n">
        <v>1568.46</v>
      </c>
      <c r="O12" s="34" t="n">
        <v>16</v>
      </c>
      <c r="P12" s="41" t="n">
        <v>229.68</v>
      </c>
    </row>
    <row r="13" s="40" customFormat="true" ht="18" hidden="false" customHeight="true" outlineLevel="0" collapsed="false">
      <c r="A13" s="32" t="n">
        <v>32383</v>
      </c>
      <c r="B13" s="32" t="n">
        <v>7898902180981</v>
      </c>
      <c r="C13" s="33" t="s">
        <v>111</v>
      </c>
      <c r="D13" s="34" t="s">
        <v>107</v>
      </c>
      <c r="E13" s="35" t="n">
        <v>612</v>
      </c>
      <c r="F13" s="34" t="n">
        <v>0</v>
      </c>
      <c r="G13" s="34" t="n">
        <v>48</v>
      </c>
      <c r="H13" s="41" t="n">
        <v>964.31</v>
      </c>
      <c r="I13" s="34" t="n">
        <v>410</v>
      </c>
      <c r="J13" s="41" t="n">
        <v>5088.71</v>
      </c>
      <c r="K13" s="34" t="n">
        <v>142</v>
      </c>
      <c r="L13" s="41" t="n">
        <v>2076.41</v>
      </c>
      <c r="M13" s="34" t="n">
        <v>273</v>
      </c>
      <c r="N13" s="41" t="n">
        <v>5269.91</v>
      </c>
      <c r="O13" s="34" t="n">
        <v>0</v>
      </c>
      <c r="P13" s="41" t="n">
        <v>41.53</v>
      </c>
    </row>
  </sheetData>
  <mergeCells count="12">
    <mergeCell ref="A1:P5"/>
    <mergeCell ref="A6:A8"/>
    <mergeCell ref="B6:B8"/>
    <mergeCell ref="C6:C8"/>
    <mergeCell ref="D6:D8"/>
    <mergeCell ref="E6:E7"/>
    <mergeCell ref="F6:F7"/>
    <mergeCell ref="G6:H6"/>
    <mergeCell ref="I6:J6"/>
    <mergeCell ref="K6:L6"/>
    <mergeCell ref="M6:N6"/>
    <mergeCell ref="O6:P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O18" activeCellId="0" sqref="O18"/>
    </sheetView>
  </sheetViews>
  <sheetFormatPr defaultColWidth="8.6171875" defaultRowHeight="9.75" customHeight="true" zeroHeight="false" outlineLevelRow="0" outlineLevelCol="0"/>
  <cols>
    <col collapsed="false" customWidth="true" hidden="false" outlineLevel="0" max="2" min="2" style="0" width="40.56"/>
    <col collapsed="false" customWidth="true" hidden="false" outlineLevel="0" max="5" min="5" style="0" width="10.88"/>
    <col collapsed="false" customWidth="true" hidden="false" outlineLevel="0" max="6" min="6" style="0" width="14.11"/>
    <col collapsed="false" customWidth="true" hidden="false" outlineLevel="0" max="8" min="8" style="0" width="10.56"/>
    <col collapsed="false" customWidth="true" hidden="false" outlineLevel="0" max="9" min="9" style="0" width="9.88"/>
    <col collapsed="false" customWidth="true" hidden="false" outlineLevel="0" max="10" min="10" style="0" width="10.22"/>
  </cols>
  <sheetData>
    <row r="1" customFormat="false" ht="17.35" hidden="false" customHeight="false" outlineLevel="0" collapsed="false">
      <c r="A1" s="42" t="s">
        <v>119</v>
      </c>
      <c r="B1" s="42"/>
      <c r="C1" s="42"/>
      <c r="D1" s="42"/>
      <c r="E1" s="43" t="s">
        <v>120</v>
      </c>
      <c r="F1" s="43"/>
      <c r="G1" s="43"/>
      <c r="H1" s="43"/>
      <c r="I1" s="43"/>
      <c r="J1" s="43"/>
      <c r="K1" s="25"/>
      <c r="L1" s="25"/>
      <c r="M1" s="25"/>
      <c r="N1" s="25"/>
      <c r="O1" s="25"/>
    </row>
    <row r="2" customFormat="false" ht="13.8" hidden="false" customHeight="false" outlineLevel="0" collapsed="false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customFormat="false" ht="13.8" hidden="false" customHeight="false" outlineLevel="0" collapsed="false">
      <c r="A3" s="44" t="s">
        <v>121</v>
      </c>
      <c r="B3" s="44" t="s">
        <v>65</v>
      </c>
      <c r="C3" s="44" t="s">
        <v>66</v>
      </c>
      <c r="D3" s="44" t="s">
        <v>122</v>
      </c>
      <c r="E3" s="44" t="s">
        <v>123</v>
      </c>
      <c r="F3" s="44" t="s">
        <v>124</v>
      </c>
      <c r="G3" s="44" t="s">
        <v>125</v>
      </c>
      <c r="H3" s="44" t="s">
        <v>126</v>
      </c>
      <c r="I3" s="44" t="s">
        <v>127</v>
      </c>
      <c r="J3" s="44" t="s">
        <v>128</v>
      </c>
      <c r="K3" s="45" t="s">
        <v>129</v>
      </c>
      <c r="L3" s="45" t="s">
        <v>130</v>
      </c>
      <c r="M3" s="45" t="s">
        <v>131</v>
      </c>
      <c r="N3" s="45" t="s">
        <v>132</v>
      </c>
      <c r="O3" s="45" t="s">
        <v>133</v>
      </c>
    </row>
    <row r="4" customFormat="false" ht="13.8" hidden="false" customHeight="false" outlineLevel="0" collapsed="false">
      <c r="A4" s="46" t="n">
        <v>15985</v>
      </c>
      <c r="B4" s="46" t="s">
        <v>134</v>
      </c>
      <c r="C4" s="46" t="s">
        <v>64</v>
      </c>
      <c r="D4" s="46" t="s">
        <v>135</v>
      </c>
      <c r="E4" s="46" t="s">
        <v>50</v>
      </c>
      <c r="F4" s="47" t="n">
        <v>7898902180998</v>
      </c>
      <c r="G4" s="46" t="n">
        <v>60</v>
      </c>
      <c r="H4" s="48" t="n">
        <v>45820.125</v>
      </c>
      <c r="I4" s="49" t="n">
        <v>1200</v>
      </c>
      <c r="J4" s="50" t="n">
        <v>1944</v>
      </c>
      <c r="K4" s="49" t="n">
        <v>0</v>
      </c>
      <c r="L4" s="49" t="n">
        <v>383</v>
      </c>
      <c r="M4" s="49" t="n">
        <v>618</v>
      </c>
      <c r="N4" s="49" t="n">
        <v>487</v>
      </c>
      <c r="O4" s="49" t="n">
        <v>166</v>
      </c>
    </row>
    <row r="5" customFormat="false" ht="13.8" hidden="false" customHeight="false" outlineLevel="0" collapsed="false">
      <c r="A5" s="46" t="n">
        <v>17243</v>
      </c>
      <c r="B5" s="46" t="s">
        <v>136</v>
      </c>
      <c r="C5" s="46" t="s">
        <v>62</v>
      </c>
      <c r="D5" s="46" t="s">
        <v>135</v>
      </c>
      <c r="E5" s="46" t="s">
        <v>52</v>
      </c>
      <c r="F5" s="47" t="n">
        <v>7898902180387</v>
      </c>
      <c r="G5" s="46" t="n">
        <v>60</v>
      </c>
      <c r="H5" s="48" t="n">
        <v>45820.125</v>
      </c>
      <c r="I5" s="49" t="n">
        <v>120</v>
      </c>
      <c r="J5" s="50" t="n">
        <v>568</v>
      </c>
      <c r="K5" s="49" t="n">
        <v>0</v>
      </c>
      <c r="L5" s="49" t="n">
        <v>0</v>
      </c>
      <c r="M5" s="49" t="n">
        <v>0</v>
      </c>
      <c r="N5" s="49" t="n">
        <v>141</v>
      </c>
      <c r="O5" s="49" t="n">
        <v>11</v>
      </c>
    </row>
    <row r="6" customFormat="false" ht="13.8" hidden="false" customHeight="false" outlineLevel="0" collapsed="false">
      <c r="A6" s="46" t="n">
        <v>15988</v>
      </c>
      <c r="B6" s="46" t="s">
        <v>137</v>
      </c>
      <c r="C6" s="46" t="s">
        <v>64</v>
      </c>
      <c r="D6" s="46" t="s">
        <v>135</v>
      </c>
      <c r="E6" s="46" t="s">
        <v>60</v>
      </c>
      <c r="F6" s="47" t="n">
        <v>7898902180981</v>
      </c>
      <c r="G6" s="46" t="n">
        <v>12</v>
      </c>
      <c r="H6" s="48" t="n">
        <v>45820.125</v>
      </c>
      <c r="I6" s="49" t="n">
        <v>672</v>
      </c>
      <c r="J6" s="50" t="n">
        <v>582</v>
      </c>
      <c r="K6" s="49" t="n">
        <v>0</v>
      </c>
      <c r="L6" s="49" t="n">
        <v>56</v>
      </c>
      <c r="M6" s="49" t="n">
        <v>218</v>
      </c>
      <c r="N6" s="49" t="n">
        <v>312</v>
      </c>
      <c r="O6" s="49" t="n">
        <v>4</v>
      </c>
    </row>
    <row r="7" customFormat="false" ht="13.8" hidden="false" customHeight="false" outlineLevel="0" collapsed="false">
      <c r="A7" s="46" t="n">
        <v>16408</v>
      </c>
      <c r="B7" s="46" t="s">
        <v>138</v>
      </c>
      <c r="C7" s="46" t="s">
        <v>64</v>
      </c>
      <c r="D7" s="46" t="s">
        <v>135</v>
      </c>
      <c r="E7" s="46" t="s">
        <v>54</v>
      </c>
      <c r="F7" s="47" t="n">
        <v>7898902180134</v>
      </c>
      <c r="G7" s="46" t="n">
        <v>60</v>
      </c>
      <c r="H7" s="48" t="n">
        <v>45820.125</v>
      </c>
      <c r="I7" s="49" t="n">
        <v>600</v>
      </c>
      <c r="J7" s="50" t="n">
        <v>4044</v>
      </c>
      <c r="K7" s="49" t="n">
        <v>240</v>
      </c>
      <c r="L7" s="49" t="n">
        <v>1046</v>
      </c>
      <c r="M7" s="49" t="n">
        <v>1528</v>
      </c>
      <c r="N7" s="49" t="n">
        <v>1754</v>
      </c>
      <c r="O7" s="49" t="n">
        <v>853</v>
      </c>
    </row>
    <row r="8" customFormat="false" ht="13.8" hidden="false" customHeight="false" outlineLevel="0" collapsed="false">
      <c r="A8" s="46" t="n">
        <v>15986</v>
      </c>
      <c r="B8" s="46" t="s">
        <v>139</v>
      </c>
      <c r="C8" s="46" t="s">
        <v>63</v>
      </c>
      <c r="D8" s="46" t="s">
        <v>135</v>
      </c>
      <c r="E8" s="46" t="s">
        <v>56</v>
      </c>
      <c r="F8" s="47" t="n">
        <v>7898902180745</v>
      </c>
      <c r="G8" s="46" t="n">
        <v>60</v>
      </c>
      <c r="H8" s="48" t="n">
        <v>45820.125</v>
      </c>
      <c r="I8" s="49" t="n">
        <v>120</v>
      </c>
      <c r="J8" s="50" t="n">
        <v>239</v>
      </c>
      <c r="K8" s="49" t="n">
        <v>0</v>
      </c>
      <c r="L8" s="49" t="n">
        <v>20</v>
      </c>
      <c r="M8" s="49" t="n">
        <v>171</v>
      </c>
      <c r="N8" s="49" t="n">
        <v>118</v>
      </c>
      <c r="O8" s="49" t="n">
        <v>73</v>
      </c>
    </row>
    <row r="9" customFormat="false" ht="13.8" hidden="false" customHeight="false" outlineLevel="0" collapsed="false">
      <c r="A9" s="46" t="n">
        <v>15987</v>
      </c>
      <c r="B9" s="46" t="s">
        <v>140</v>
      </c>
      <c r="C9" s="46" t="s">
        <v>63</v>
      </c>
      <c r="D9" s="46" t="s">
        <v>135</v>
      </c>
      <c r="E9" s="46" t="s">
        <v>58</v>
      </c>
      <c r="F9" s="47" t="n">
        <v>7898902180752</v>
      </c>
      <c r="G9" s="46" t="n">
        <v>60</v>
      </c>
      <c r="H9" s="48" t="n">
        <v>45415.125</v>
      </c>
      <c r="I9" s="49" t="n">
        <v>360</v>
      </c>
      <c r="J9" s="50" t="n">
        <v>0</v>
      </c>
      <c r="K9" s="49" t="n">
        <v>60</v>
      </c>
      <c r="L9" s="49" t="n">
        <v>31</v>
      </c>
      <c r="M9" s="49" t="n">
        <v>239</v>
      </c>
      <c r="N9" s="49" t="n">
        <v>11</v>
      </c>
      <c r="O9" s="49" t="n">
        <v>3</v>
      </c>
    </row>
    <row r="10" customFormat="false" ht="13.8" hidden="false" customHeight="false" outlineLevel="0" collapsed="false">
      <c r="A10" s="51" t="s">
        <v>141</v>
      </c>
      <c r="B10" s="51"/>
      <c r="C10" s="51"/>
      <c r="D10" s="51"/>
      <c r="E10" s="51"/>
      <c r="F10" s="44" t="s">
        <v>142</v>
      </c>
      <c r="G10" s="51"/>
      <c r="H10" s="51"/>
      <c r="I10" s="51"/>
      <c r="J10" s="52" t="s">
        <v>143</v>
      </c>
      <c r="K10" s="52" t="s">
        <v>144</v>
      </c>
      <c r="L10" s="52" t="s">
        <v>145</v>
      </c>
      <c r="M10" s="52" t="s">
        <v>146</v>
      </c>
      <c r="N10" s="52" t="s">
        <v>147</v>
      </c>
      <c r="O10" s="52" t="s">
        <v>148</v>
      </c>
    </row>
  </sheetData>
  <mergeCells count="2">
    <mergeCell ref="A1:D1"/>
    <mergeCell ref="E1:J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2.00390625" defaultRowHeight="14.25" customHeight="true" zeroHeight="false" outlineLevelRow="0" outlineLevelCol="0"/>
  <cols>
    <col collapsed="false" customWidth="true" hidden="false" outlineLevel="0" max="1" min="1" style="25" width="32.44"/>
    <col collapsed="false" customWidth="true" hidden="false" outlineLevel="0" max="2" min="2" style="25" width="12.34"/>
    <col collapsed="false" customWidth="true" hidden="false" outlineLevel="0" max="4" min="3" style="25" width="8.66"/>
    <col collapsed="false" customWidth="true" hidden="false" outlineLevel="0" max="5" min="5" style="25" width="11.89"/>
    <col collapsed="false" customWidth="true" hidden="false" outlineLevel="0" max="6" min="6" style="25" width="22"/>
    <col collapsed="false" customWidth="true" hidden="false" outlineLevel="0" max="8" min="7" style="25" width="10.56"/>
    <col collapsed="false" customWidth="true" hidden="false" outlineLevel="0" max="9" min="9" style="25" width="11.56"/>
    <col collapsed="false" customWidth="true" hidden="false" outlineLevel="0" max="12" min="10" style="25" width="11"/>
    <col collapsed="false" customWidth="false" hidden="false" outlineLevel="0" max="16384" min="13" style="25" width="12"/>
  </cols>
  <sheetData>
    <row r="1" customFormat="false" ht="14.25" hidden="false" customHeight="false" outlineLevel="0" collapsed="false">
      <c r="A1" s="53" t="s">
        <v>2</v>
      </c>
      <c r="B1" s="54" t="s">
        <v>13</v>
      </c>
      <c r="C1" s="53" t="s">
        <v>149</v>
      </c>
      <c r="D1" s="53" t="s">
        <v>14</v>
      </c>
      <c r="E1" s="55" t="s">
        <v>150</v>
      </c>
      <c r="F1" s="55" t="s">
        <v>151</v>
      </c>
      <c r="G1" s="55" t="s">
        <v>152</v>
      </c>
      <c r="H1" s="55" t="s">
        <v>153</v>
      </c>
      <c r="I1" s="55" t="s">
        <v>154</v>
      </c>
      <c r="J1" s="55" t="s">
        <v>155</v>
      </c>
      <c r="K1" s="55" t="s">
        <v>156</v>
      </c>
    </row>
    <row r="2" customFormat="false" ht="14.25" hidden="false" customHeight="false" outlineLevel="0" collapsed="false">
      <c r="A2" s="56" t="s">
        <v>157</v>
      </c>
      <c r="B2" s="57" t="s">
        <v>158</v>
      </c>
      <c r="C2" s="56" t="s">
        <v>50</v>
      </c>
      <c r="D2" s="56" t="s">
        <v>19</v>
      </c>
      <c r="E2" s="58" t="n">
        <v>60</v>
      </c>
      <c r="F2" s="59" t="n">
        <v>720</v>
      </c>
      <c r="G2" s="58" t="n">
        <v>0</v>
      </c>
      <c r="H2" s="58" t="n">
        <v>1041</v>
      </c>
      <c r="I2" s="58" t="n">
        <v>288</v>
      </c>
      <c r="J2" s="58" t="n">
        <v>170</v>
      </c>
      <c r="K2" s="58" t="n">
        <v>249</v>
      </c>
    </row>
    <row r="3" customFormat="false" ht="14.25" hidden="false" customHeight="false" outlineLevel="0" collapsed="false">
      <c r="A3" s="60" t="s">
        <v>159</v>
      </c>
      <c r="B3" s="61" t="s">
        <v>160</v>
      </c>
      <c r="C3" s="60" t="s">
        <v>52</v>
      </c>
      <c r="D3" s="60" t="s">
        <v>19</v>
      </c>
      <c r="E3" s="62" t="n">
        <v>60</v>
      </c>
      <c r="F3" s="63" t="n">
        <v>97</v>
      </c>
      <c r="G3" s="62" t="n">
        <v>0</v>
      </c>
      <c r="H3" s="62" t="n">
        <v>2</v>
      </c>
      <c r="I3" s="62" t="n">
        <v>21</v>
      </c>
      <c r="J3" s="62" t="n">
        <v>0</v>
      </c>
      <c r="K3" s="62" t="n">
        <v>0</v>
      </c>
    </row>
    <row r="4" customFormat="false" ht="14.25" hidden="false" customHeight="false" outlineLevel="0" collapsed="false">
      <c r="A4" s="56" t="s">
        <v>161</v>
      </c>
      <c r="B4" s="57" t="s">
        <v>162</v>
      </c>
      <c r="C4" s="56" t="s">
        <v>54</v>
      </c>
      <c r="D4" s="56" t="s">
        <v>19</v>
      </c>
      <c r="E4" s="58" t="n">
        <v>60</v>
      </c>
      <c r="F4" s="59" t="n">
        <v>614</v>
      </c>
      <c r="G4" s="58" t="n">
        <v>0</v>
      </c>
      <c r="H4" s="58" t="n">
        <v>306</v>
      </c>
      <c r="I4" s="58" t="n">
        <v>226</v>
      </c>
      <c r="J4" s="58" t="n">
        <v>367</v>
      </c>
      <c r="K4" s="58" t="n">
        <v>377</v>
      </c>
    </row>
    <row r="5" customFormat="false" ht="14.25" hidden="false" customHeight="false" outlineLevel="0" collapsed="false">
      <c r="A5" s="60" t="s">
        <v>163</v>
      </c>
      <c r="B5" s="61" t="s">
        <v>164</v>
      </c>
      <c r="C5" s="60" t="s">
        <v>165</v>
      </c>
      <c r="D5" s="60" t="s">
        <v>19</v>
      </c>
      <c r="E5" s="62" t="n">
        <v>14</v>
      </c>
      <c r="F5" s="63" t="n">
        <v>0</v>
      </c>
      <c r="G5" s="62" t="n">
        <v>0</v>
      </c>
      <c r="H5" s="62" t="n">
        <v>0</v>
      </c>
      <c r="I5" s="62" t="n">
        <v>0</v>
      </c>
      <c r="J5" s="62" t="n">
        <v>0</v>
      </c>
      <c r="K5" s="62" t="n">
        <v>0</v>
      </c>
    </row>
    <row r="6" customFormat="false" ht="14.25" hidden="false" customHeight="false" outlineLevel="0" collapsed="false">
      <c r="A6" s="56" t="s">
        <v>166</v>
      </c>
      <c r="B6" s="57" t="s">
        <v>167</v>
      </c>
      <c r="C6" s="56" t="s">
        <v>168</v>
      </c>
      <c r="D6" s="56" t="s">
        <v>19</v>
      </c>
      <c r="E6" s="58" t="n">
        <v>14</v>
      </c>
      <c r="F6" s="59" t="n">
        <v>0</v>
      </c>
      <c r="G6" s="58" t="n">
        <v>0</v>
      </c>
      <c r="H6" s="58" t="n">
        <v>0</v>
      </c>
      <c r="I6" s="58" t="n">
        <v>0</v>
      </c>
      <c r="J6" s="58" t="n">
        <v>0</v>
      </c>
      <c r="K6" s="58" t="n">
        <v>0</v>
      </c>
    </row>
    <row r="7" customFormat="false" ht="14.25" hidden="false" customHeight="false" outlineLevel="0" collapsed="false">
      <c r="A7" s="60" t="s">
        <v>169</v>
      </c>
      <c r="B7" s="61" t="s">
        <v>170</v>
      </c>
      <c r="C7" s="60" t="s">
        <v>56</v>
      </c>
      <c r="D7" s="60" t="s">
        <v>19</v>
      </c>
      <c r="E7" s="62" t="n">
        <v>60</v>
      </c>
      <c r="F7" s="63" t="n">
        <v>92</v>
      </c>
      <c r="G7" s="62" t="n">
        <v>0</v>
      </c>
      <c r="H7" s="62" t="n">
        <v>32</v>
      </c>
      <c r="I7" s="62" t="n">
        <v>48</v>
      </c>
      <c r="J7" s="62" t="n">
        <v>45</v>
      </c>
      <c r="K7" s="62" t="n">
        <v>27</v>
      </c>
    </row>
    <row r="8" customFormat="false" ht="14.25" hidden="false" customHeight="false" outlineLevel="0" collapsed="false">
      <c r="A8" s="56" t="s">
        <v>171</v>
      </c>
      <c r="B8" s="57" t="s">
        <v>172</v>
      </c>
      <c r="C8" s="56" t="s">
        <v>58</v>
      </c>
      <c r="D8" s="56" t="s">
        <v>19</v>
      </c>
      <c r="E8" s="58" t="n">
        <v>60</v>
      </c>
      <c r="F8" s="59" t="n">
        <v>0</v>
      </c>
      <c r="G8" s="58" t="n">
        <v>0</v>
      </c>
      <c r="H8" s="58" t="n">
        <v>0</v>
      </c>
      <c r="I8" s="58" t="n">
        <v>0</v>
      </c>
      <c r="J8" s="58" t="n">
        <v>0</v>
      </c>
      <c r="K8" s="58" t="n">
        <v>0</v>
      </c>
    </row>
    <row r="9" customFormat="false" ht="14.25" hidden="false" customHeight="false" outlineLevel="0" collapsed="false">
      <c r="A9" s="60" t="s">
        <v>173</v>
      </c>
      <c r="B9" s="61" t="s">
        <v>174</v>
      </c>
      <c r="C9" s="60" t="s">
        <v>60</v>
      </c>
      <c r="D9" s="60" t="s">
        <v>19</v>
      </c>
      <c r="E9" s="62" t="n">
        <v>12</v>
      </c>
      <c r="F9" s="63" t="n">
        <v>194</v>
      </c>
      <c r="G9" s="62" t="n">
        <v>0</v>
      </c>
      <c r="H9" s="62" t="n">
        <v>16</v>
      </c>
      <c r="I9" s="62" t="n">
        <v>65</v>
      </c>
      <c r="J9" s="62" t="n">
        <v>58</v>
      </c>
      <c r="K9" s="62" t="n">
        <v>91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32.44"/>
    <col collapsed="false" customWidth="true" hidden="false" outlineLevel="0" max="2" min="2" style="0" width="14.34"/>
    <col collapsed="false" customWidth="true" hidden="false" outlineLevel="0" max="3" min="3" style="0" width="10.22"/>
    <col collapsed="false" customWidth="true" hidden="false" outlineLevel="0" max="5" min="5" style="0" width="13"/>
    <col collapsed="false" customWidth="true" hidden="false" outlineLevel="0" max="6" min="6" style="0" width="21.89"/>
    <col collapsed="false" customWidth="true" hidden="false" outlineLevel="0" max="7" min="7" style="0" width="12.44"/>
  </cols>
  <sheetData>
    <row r="1" customFormat="false" ht="12.65" hidden="false" customHeight="false" outlineLevel="0" collapsed="false">
      <c r="A1" s="53" t="s">
        <v>2</v>
      </c>
      <c r="B1" s="54" t="s">
        <v>13</v>
      </c>
      <c r="C1" s="53" t="s">
        <v>149</v>
      </c>
      <c r="D1" s="53" t="s">
        <v>14</v>
      </c>
      <c r="E1" s="55" t="s">
        <v>150</v>
      </c>
      <c r="F1" s="55" t="s">
        <v>151</v>
      </c>
      <c r="G1" s="55" t="s">
        <v>152</v>
      </c>
      <c r="H1" s="55" t="s">
        <v>153</v>
      </c>
      <c r="I1" s="55" t="s">
        <v>154</v>
      </c>
      <c r="J1" s="55" t="s">
        <v>155</v>
      </c>
      <c r="K1" s="55" t="s">
        <v>156</v>
      </c>
    </row>
    <row r="2" customFormat="false" ht="11.9" hidden="false" customHeight="false" outlineLevel="0" collapsed="false">
      <c r="A2" s="56" t="s">
        <v>157</v>
      </c>
      <c r="B2" s="57" t="s">
        <v>158</v>
      </c>
      <c r="C2" s="56" t="s">
        <v>50</v>
      </c>
      <c r="D2" s="56" t="s">
        <v>19</v>
      </c>
      <c r="E2" s="58" t="n">
        <v>60</v>
      </c>
      <c r="F2" s="59" t="n">
        <v>1863</v>
      </c>
      <c r="G2" s="58" t="n">
        <v>0</v>
      </c>
      <c r="H2" s="58" t="n">
        <v>203</v>
      </c>
      <c r="I2" s="58" t="n">
        <v>761</v>
      </c>
      <c r="J2" s="58" t="n">
        <v>2011</v>
      </c>
      <c r="K2" s="58" t="n">
        <v>932</v>
      </c>
    </row>
    <row r="3" customFormat="false" ht="11.9" hidden="false" customHeight="false" outlineLevel="0" collapsed="false">
      <c r="A3" s="60" t="s">
        <v>159</v>
      </c>
      <c r="B3" s="61" t="s">
        <v>160</v>
      </c>
      <c r="C3" s="60" t="s">
        <v>52</v>
      </c>
      <c r="D3" s="60" t="s">
        <v>19</v>
      </c>
      <c r="E3" s="62" t="n">
        <v>60</v>
      </c>
      <c r="F3" s="63" t="n">
        <v>94</v>
      </c>
      <c r="G3" s="62" t="n">
        <v>0</v>
      </c>
      <c r="H3" s="62" t="n">
        <v>12</v>
      </c>
      <c r="I3" s="62" t="n">
        <v>14</v>
      </c>
      <c r="J3" s="62" t="n">
        <v>0</v>
      </c>
      <c r="K3" s="62" t="n">
        <v>0</v>
      </c>
    </row>
    <row r="4" customFormat="false" ht="11.9" hidden="false" customHeight="false" outlineLevel="0" collapsed="false">
      <c r="A4" s="56" t="s">
        <v>161</v>
      </c>
      <c r="B4" s="57" t="s">
        <v>162</v>
      </c>
      <c r="C4" s="56" t="s">
        <v>54</v>
      </c>
      <c r="D4" s="56" t="s">
        <v>19</v>
      </c>
      <c r="E4" s="58" t="n">
        <v>60</v>
      </c>
      <c r="F4" s="59" t="n">
        <v>2901</v>
      </c>
      <c r="G4" s="58" t="n">
        <v>0</v>
      </c>
      <c r="H4" s="58" t="n">
        <v>386</v>
      </c>
      <c r="I4" s="58" t="n">
        <v>572</v>
      </c>
      <c r="J4" s="58" t="n">
        <v>1495</v>
      </c>
      <c r="K4" s="58" t="n">
        <v>2521</v>
      </c>
    </row>
    <row r="5" customFormat="false" ht="11.9" hidden="false" customHeight="false" outlineLevel="0" collapsed="false">
      <c r="A5" s="60" t="s">
        <v>163</v>
      </c>
      <c r="B5" s="61" t="s">
        <v>164</v>
      </c>
      <c r="C5" s="60" t="s">
        <v>165</v>
      </c>
      <c r="D5" s="60" t="s">
        <v>19</v>
      </c>
      <c r="E5" s="62" t="n">
        <v>14</v>
      </c>
      <c r="F5" s="63" t="n">
        <v>0</v>
      </c>
      <c r="G5" s="62" t="n">
        <v>0</v>
      </c>
      <c r="H5" s="62" t="n">
        <v>0</v>
      </c>
      <c r="I5" s="62" t="n">
        <v>0</v>
      </c>
      <c r="J5" s="62" t="n">
        <v>0</v>
      </c>
      <c r="K5" s="62" t="n">
        <v>0</v>
      </c>
    </row>
    <row r="6" customFormat="false" ht="11.9" hidden="false" customHeight="false" outlineLevel="0" collapsed="false">
      <c r="A6" s="56" t="s">
        <v>166</v>
      </c>
      <c r="B6" s="57" t="s">
        <v>167</v>
      </c>
      <c r="C6" s="56" t="s">
        <v>168</v>
      </c>
      <c r="D6" s="56" t="s">
        <v>19</v>
      </c>
      <c r="E6" s="58" t="n">
        <v>14</v>
      </c>
      <c r="F6" s="59" t="n">
        <v>0</v>
      </c>
      <c r="G6" s="58" t="n">
        <v>0</v>
      </c>
      <c r="H6" s="58" t="n">
        <v>0</v>
      </c>
      <c r="I6" s="58" t="n">
        <v>0</v>
      </c>
      <c r="J6" s="58" t="n">
        <v>0</v>
      </c>
      <c r="K6" s="58" t="n">
        <v>0</v>
      </c>
    </row>
    <row r="7" customFormat="false" ht="11.9" hidden="false" customHeight="false" outlineLevel="0" collapsed="false">
      <c r="A7" s="60" t="s">
        <v>169</v>
      </c>
      <c r="B7" s="61" t="s">
        <v>170</v>
      </c>
      <c r="C7" s="60" t="s">
        <v>56</v>
      </c>
      <c r="D7" s="60" t="s">
        <v>19</v>
      </c>
      <c r="E7" s="62" t="n">
        <v>60</v>
      </c>
      <c r="F7" s="63" t="n">
        <v>220</v>
      </c>
      <c r="G7" s="62" t="n">
        <v>0</v>
      </c>
      <c r="H7" s="62" t="n">
        <v>137</v>
      </c>
      <c r="I7" s="62" t="n">
        <v>382</v>
      </c>
      <c r="J7" s="62" t="n">
        <v>394</v>
      </c>
      <c r="K7" s="62" t="n">
        <v>383</v>
      </c>
    </row>
    <row r="8" customFormat="false" ht="11.9" hidden="false" customHeight="false" outlineLevel="0" collapsed="false">
      <c r="A8" s="56" t="s">
        <v>171</v>
      </c>
      <c r="B8" s="57" t="s">
        <v>172</v>
      </c>
      <c r="C8" s="56" t="s">
        <v>58</v>
      </c>
      <c r="D8" s="56" t="s">
        <v>19</v>
      </c>
      <c r="E8" s="58" t="n">
        <v>60</v>
      </c>
      <c r="F8" s="59" t="n">
        <v>0</v>
      </c>
      <c r="G8" s="58" t="n">
        <v>0</v>
      </c>
      <c r="H8" s="58" t="n">
        <v>0</v>
      </c>
      <c r="I8" s="58" t="n">
        <v>0</v>
      </c>
      <c r="J8" s="58" t="n">
        <v>0</v>
      </c>
      <c r="K8" s="58" t="n">
        <v>0</v>
      </c>
    </row>
    <row r="9" customFormat="false" ht="11.9" hidden="false" customHeight="false" outlineLevel="0" collapsed="false">
      <c r="A9" s="60" t="s">
        <v>173</v>
      </c>
      <c r="B9" s="61" t="s">
        <v>174</v>
      </c>
      <c r="C9" s="60" t="s">
        <v>60</v>
      </c>
      <c r="D9" s="60" t="s">
        <v>19</v>
      </c>
      <c r="E9" s="62" t="n">
        <v>12</v>
      </c>
      <c r="F9" s="63" t="n">
        <v>0</v>
      </c>
      <c r="G9" s="62" t="n">
        <v>0</v>
      </c>
      <c r="H9" s="62" t="n">
        <v>34</v>
      </c>
      <c r="I9" s="62" t="n">
        <v>285</v>
      </c>
      <c r="J9" s="62" t="n">
        <v>89</v>
      </c>
      <c r="K9" s="62" t="n">
        <v>140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33.56"/>
    <col collapsed="false" customWidth="true" hidden="false" outlineLevel="0" max="2" min="2" style="0" width="14.11"/>
    <col collapsed="false" customWidth="true" hidden="false" outlineLevel="0" max="3" min="3" style="0" width="10.88"/>
    <col collapsed="false" customWidth="true" hidden="false" outlineLevel="0" max="5" min="5" style="0" width="12.44"/>
    <col collapsed="false" customWidth="true" hidden="false" outlineLevel="0" max="6" min="6" style="0" width="22.22"/>
    <col collapsed="false" customWidth="true" hidden="false" outlineLevel="0" max="7" min="7" style="0" width="11.22"/>
  </cols>
  <sheetData>
    <row r="1" customFormat="false" ht="12.65" hidden="false" customHeight="false" outlineLevel="0" collapsed="false">
      <c r="A1" s="53" t="s">
        <v>2</v>
      </c>
      <c r="B1" s="54" t="s">
        <v>13</v>
      </c>
      <c r="C1" s="53" t="s">
        <v>149</v>
      </c>
      <c r="D1" s="53" t="s">
        <v>14</v>
      </c>
      <c r="E1" s="55" t="s">
        <v>150</v>
      </c>
      <c r="F1" s="55" t="s">
        <v>151</v>
      </c>
      <c r="G1" s="55" t="s">
        <v>152</v>
      </c>
      <c r="H1" s="55" t="s">
        <v>153</v>
      </c>
      <c r="I1" s="55" t="s">
        <v>154</v>
      </c>
      <c r="J1" s="55" t="s">
        <v>155</v>
      </c>
      <c r="K1" s="55" t="s">
        <v>156</v>
      </c>
    </row>
    <row r="2" customFormat="false" ht="11.9" hidden="false" customHeight="false" outlineLevel="0" collapsed="false">
      <c r="A2" s="56" t="s">
        <v>157</v>
      </c>
      <c r="B2" s="57" t="s">
        <v>158</v>
      </c>
      <c r="C2" s="56" t="s">
        <v>50</v>
      </c>
      <c r="D2" s="56" t="s">
        <v>19</v>
      </c>
      <c r="E2" s="58" t="n">
        <v>60</v>
      </c>
      <c r="F2" s="59" t="n">
        <v>649</v>
      </c>
      <c r="G2" s="58" t="n">
        <v>60</v>
      </c>
      <c r="H2" s="58" t="n">
        <v>259</v>
      </c>
      <c r="I2" s="58" t="n">
        <v>648</v>
      </c>
      <c r="J2" s="58" t="n">
        <v>54</v>
      </c>
      <c r="K2" s="58" t="n">
        <v>365</v>
      </c>
    </row>
    <row r="3" customFormat="false" ht="11.9" hidden="false" customHeight="false" outlineLevel="0" collapsed="false">
      <c r="A3" s="60" t="s">
        <v>159</v>
      </c>
      <c r="B3" s="61" t="s">
        <v>160</v>
      </c>
      <c r="C3" s="60" t="s">
        <v>52</v>
      </c>
      <c r="D3" s="60" t="s">
        <v>19</v>
      </c>
      <c r="E3" s="62" t="n">
        <v>60</v>
      </c>
      <c r="F3" s="63" t="n">
        <v>95</v>
      </c>
      <c r="G3" s="62" t="n">
        <v>0</v>
      </c>
      <c r="H3" s="62" t="n">
        <v>5</v>
      </c>
      <c r="I3" s="62" t="n">
        <v>20</v>
      </c>
      <c r="J3" s="62" t="n">
        <v>0</v>
      </c>
      <c r="K3" s="62" t="n">
        <v>0</v>
      </c>
    </row>
    <row r="4" customFormat="false" ht="11.9" hidden="false" customHeight="false" outlineLevel="0" collapsed="false">
      <c r="A4" s="56" t="s">
        <v>161</v>
      </c>
      <c r="B4" s="57" t="s">
        <v>162</v>
      </c>
      <c r="C4" s="56" t="s">
        <v>54</v>
      </c>
      <c r="D4" s="56" t="s">
        <v>19</v>
      </c>
      <c r="E4" s="58" t="n">
        <v>60</v>
      </c>
      <c r="F4" s="59" t="n">
        <v>218</v>
      </c>
      <c r="G4" s="58" t="n">
        <v>60</v>
      </c>
      <c r="H4" s="58" t="n">
        <v>236</v>
      </c>
      <c r="I4" s="58" t="n">
        <v>430</v>
      </c>
      <c r="J4" s="58" t="n">
        <v>271</v>
      </c>
      <c r="K4" s="58" t="n">
        <v>156</v>
      </c>
    </row>
    <row r="5" customFormat="false" ht="11.9" hidden="false" customHeight="false" outlineLevel="0" collapsed="false">
      <c r="A5" s="60" t="s">
        <v>163</v>
      </c>
      <c r="B5" s="61" t="s">
        <v>164</v>
      </c>
      <c r="C5" s="60" t="s">
        <v>165</v>
      </c>
      <c r="D5" s="60" t="s">
        <v>19</v>
      </c>
      <c r="E5" s="62" t="n">
        <v>14</v>
      </c>
      <c r="F5" s="63" t="n">
        <v>0</v>
      </c>
      <c r="G5" s="62" t="n">
        <v>0</v>
      </c>
      <c r="H5" s="62" t="n">
        <v>0</v>
      </c>
      <c r="I5" s="62" t="n">
        <v>0</v>
      </c>
      <c r="J5" s="62" t="n">
        <v>0</v>
      </c>
      <c r="K5" s="62" t="n">
        <v>0</v>
      </c>
    </row>
    <row r="6" customFormat="false" ht="11.9" hidden="false" customHeight="false" outlineLevel="0" collapsed="false">
      <c r="A6" s="56" t="s">
        <v>166</v>
      </c>
      <c r="B6" s="57" t="s">
        <v>167</v>
      </c>
      <c r="C6" s="56" t="s">
        <v>168</v>
      </c>
      <c r="D6" s="56" t="s">
        <v>19</v>
      </c>
      <c r="E6" s="58" t="n">
        <v>14</v>
      </c>
      <c r="F6" s="59" t="n">
        <v>0</v>
      </c>
      <c r="G6" s="58" t="n">
        <v>0</v>
      </c>
      <c r="H6" s="58" t="n">
        <v>0</v>
      </c>
      <c r="I6" s="58" t="n">
        <v>0</v>
      </c>
      <c r="J6" s="58" t="n">
        <v>0</v>
      </c>
      <c r="K6" s="58" t="n">
        <v>0</v>
      </c>
    </row>
    <row r="7" customFormat="false" ht="11.9" hidden="false" customHeight="false" outlineLevel="0" collapsed="false">
      <c r="A7" s="60" t="s">
        <v>169</v>
      </c>
      <c r="B7" s="61" t="s">
        <v>170</v>
      </c>
      <c r="C7" s="60" t="s">
        <v>56</v>
      </c>
      <c r="D7" s="60" t="s">
        <v>19</v>
      </c>
      <c r="E7" s="62" t="n">
        <v>60</v>
      </c>
      <c r="F7" s="63" t="n">
        <v>203</v>
      </c>
      <c r="G7" s="62" t="n">
        <v>0</v>
      </c>
      <c r="H7" s="62" t="n">
        <v>36</v>
      </c>
      <c r="I7" s="62" t="n">
        <v>110</v>
      </c>
      <c r="J7" s="62" t="n">
        <v>42</v>
      </c>
      <c r="K7" s="62" t="n">
        <v>44</v>
      </c>
    </row>
    <row r="8" customFormat="false" ht="11.9" hidden="false" customHeight="false" outlineLevel="0" collapsed="false">
      <c r="A8" s="56" t="s">
        <v>171</v>
      </c>
      <c r="B8" s="57" t="s">
        <v>172</v>
      </c>
      <c r="C8" s="56" t="s">
        <v>58</v>
      </c>
      <c r="D8" s="56" t="s">
        <v>19</v>
      </c>
      <c r="E8" s="58" t="n">
        <v>60</v>
      </c>
      <c r="F8" s="59" t="n">
        <v>0</v>
      </c>
      <c r="G8" s="58" t="n">
        <v>0</v>
      </c>
      <c r="H8" s="58" t="n">
        <v>0</v>
      </c>
      <c r="I8" s="58" t="n">
        <v>0</v>
      </c>
      <c r="J8" s="58" t="n">
        <v>0</v>
      </c>
      <c r="K8" s="58" t="n">
        <v>0</v>
      </c>
    </row>
    <row r="9" customFormat="false" ht="11.9" hidden="false" customHeight="false" outlineLevel="0" collapsed="false">
      <c r="A9" s="60" t="s">
        <v>173</v>
      </c>
      <c r="B9" s="61" t="s">
        <v>174</v>
      </c>
      <c r="C9" s="60" t="s">
        <v>60</v>
      </c>
      <c r="D9" s="60" t="s">
        <v>19</v>
      </c>
      <c r="E9" s="62" t="n">
        <v>12</v>
      </c>
      <c r="F9" s="63" t="n">
        <v>360</v>
      </c>
      <c r="G9" s="62" t="n">
        <v>0</v>
      </c>
      <c r="H9" s="62" t="n">
        <v>0</v>
      </c>
      <c r="I9" s="62" t="n">
        <v>118</v>
      </c>
      <c r="J9" s="62" t="n">
        <v>0</v>
      </c>
      <c r="K9" s="62" t="n">
        <v>119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40.44"/>
    <col collapsed="false" customWidth="true" hidden="false" outlineLevel="0" max="2" min="2" style="0" width="32.44"/>
    <col collapsed="false" customWidth="true" hidden="false" outlineLevel="0" max="3" min="3" style="0" width="12.34"/>
    <col collapsed="false" customWidth="true" hidden="false" outlineLevel="0" max="6" min="6" style="0" width="12"/>
    <col collapsed="false" customWidth="true" hidden="false" outlineLevel="0" max="7" min="7" style="0" width="21.22"/>
    <col collapsed="false" customWidth="true" hidden="false" outlineLevel="0" max="8" min="8" style="0" width="11.89"/>
  </cols>
  <sheetData>
    <row r="1" customFormat="false" ht="12.65" hidden="false" customHeight="false" outlineLevel="0" collapsed="false">
      <c r="A1" s="53" t="s">
        <v>175</v>
      </c>
      <c r="B1" s="53" t="s">
        <v>2</v>
      </c>
      <c r="C1" s="53" t="s">
        <v>13</v>
      </c>
      <c r="D1" s="53" t="s">
        <v>149</v>
      </c>
      <c r="E1" s="54" t="s">
        <v>14</v>
      </c>
      <c r="F1" s="55" t="s">
        <v>150</v>
      </c>
      <c r="G1" s="55" t="s">
        <v>151</v>
      </c>
      <c r="H1" s="55" t="s">
        <v>152</v>
      </c>
      <c r="I1" s="55" t="s">
        <v>153</v>
      </c>
      <c r="J1" s="55" t="s">
        <v>154</v>
      </c>
      <c r="K1" s="55" t="s">
        <v>155</v>
      </c>
      <c r="L1" s="55" t="s">
        <v>156</v>
      </c>
    </row>
    <row r="2" customFormat="false" ht="11.9" hidden="false" customHeight="false" outlineLevel="0" collapsed="false">
      <c r="A2" s="56" t="s">
        <v>176</v>
      </c>
      <c r="B2" s="56" t="s">
        <v>157</v>
      </c>
      <c r="C2" s="56" t="s">
        <v>158</v>
      </c>
      <c r="D2" s="56" t="s">
        <v>50</v>
      </c>
      <c r="E2" s="57" t="s">
        <v>19</v>
      </c>
      <c r="F2" s="58" t="n">
        <v>60</v>
      </c>
      <c r="G2" s="59" t="n">
        <v>0</v>
      </c>
      <c r="H2" s="58" t="n">
        <v>0</v>
      </c>
      <c r="I2" s="58" t="n">
        <v>0</v>
      </c>
      <c r="J2" s="58" t="n">
        <v>0</v>
      </c>
      <c r="K2" s="58" t="n">
        <v>0</v>
      </c>
      <c r="L2" s="58" t="n">
        <v>0</v>
      </c>
    </row>
    <row r="3" customFormat="false" ht="11.9" hidden="false" customHeight="false" outlineLevel="0" collapsed="false">
      <c r="A3" s="56"/>
      <c r="B3" s="60" t="s">
        <v>159</v>
      </c>
      <c r="C3" s="60" t="s">
        <v>160</v>
      </c>
      <c r="D3" s="60" t="s">
        <v>52</v>
      </c>
      <c r="E3" s="61" t="s">
        <v>19</v>
      </c>
      <c r="F3" s="62" t="n">
        <v>60</v>
      </c>
      <c r="G3" s="63" t="n">
        <v>0</v>
      </c>
      <c r="H3" s="62" t="n">
        <v>0</v>
      </c>
      <c r="I3" s="62" t="n">
        <v>0</v>
      </c>
      <c r="J3" s="62" t="n">
        <v>0</v>
      </c>
      <c r="K3" s="62" t="n">
        <v>0</v>
      </c>
      <c r="L3" s="62" t="n">
        <v>0</v>
      </c>
    </row>
    <row r="4" customFormat="false" ht="11.9" hidden="false" customHeight="false" outlineLevel="0" collapsed="false">
      <c r="A4" s="56"/>
      <c r="B4" s="56" t="s">
        <v>161</v>
      </c>
      <c r="C4" s="56" t="s">
        <v>162</v>
      </c>
      <c r="D4" s="56" t="s">
        <v>54</v>
      </c>
      <c r="E4" s="57" t="s">
        <v>19</v>
      </c>
      <c r="F4" s="58" t="n">
        <v>60</v>
      </c>
      <c r="G4" s="59" t="n">
        <v>0</v>
      </c>
      <c r="H4" s="58" t="n">
        <v>0</v>
      </c>
      <c r="I4" s="58" t="n">
        <v>0</v>
      </c>
      <c r="J4" s="58" t="n">
        <v>0</v>
      </c>
      <c r="K4" s="58" t="n">
        <v>0</v>
      </c>
      <c r="L4" s="58" t="n">
        <v>0</v>
      </c>
    </row>
    <row r="5" customFormat="false" ht="11.9" hidden="false" customHeight="false" outlineLevel="0" collapsed="false">
      <c r="A5" s="56"/>
      <c r="B5" s="60" t="s">
        <v>169</v>
      </c>
      <c r="C5" s="60" t="s">
        <v>170</v>
      </c>
      <c r="D5" s="60" t="s">
        <v>56</v>
      </c>
      <c r="E5" s="61" t="s">
        <v>19</v>
      </c>
      <c r="F5" s="62" t="n">
        <v>60</v>
      </c>
      <c r="G5" s="63" t="n">
        <v>0</v>
      </c>
      <c r="H5" s="62" t="n">
        <v>0</v>
      </c>
      <c r="I5" s="62" t="n">
        <v>0</v>
      </c>
      <c r="J5" s="62" t="n">
        <v>0</v>
      </c>
      <c r="K5" s="62" t="n">
        <v>0</v>
      </c>
      <c r="L5" s="62" t="n">
        <v>0</v>
      </c>
    </row>
    <row r="6" customFormat="false" ht="11.9" hidden="false" customHeight="false" outlineLevel="0" collapsed="false">
      <c r="A6" s="56"/>
      <c r="B6" s="56" t="s">
        <v>171</v>
      </c>
      <c r="C6" s="56" t="s">
        <v>172</v>
      </c>
      <c r="D6" s="56" t="s">
        <v>58</v>
      </c>
      <c r="E6" s="57" t="s">
        <v>19</v>
      </c>
      <c r="F6" s="58" t="n">
        <v>60</v>
      </c>
      <c r="G6" s="59" t="n">
        <v>0</v>
      </c>
      <c r="H6" s="58" t="n">
        <v>0</v>
      </c>
      <c r="I6" s="58" t="n">
        <v>0</v>
      </c>
      <c r="J6" s="58" t="n">
        <v>0</v>
      </c>
      <c r="K6" s="58" t="n">
        <v>0</v>
      </c>
      <c r="L6" s="58" t="n">
        <v>0</v>
      </c>
    </row>
    <row r="7" customFormat="false" ht="11.9" hidden="false" customHeight="false" outlineLevel="0" collapsed="false">
      <c r="A7" s="56"/>
      <c r="B7" s="60" t="s">
        <v>173</v>
      </c>
      <c r="C7" s="60" t="s">
        <v>174</v>
      </c>
      <c r="D7" s="60" t="s">
        <v>60</v>
      </c>
      <c r="E7" s="61" t="s">
        <v>19</v>
      </c>
      <c r="F7" s="62" t="n">
        <v>12</v>
      </c>
      <c r="G7" s="63" t="n">
        <v>153</v>
      </c>
      <c r="H7" s="62" t="n">
        <v>0</v>
      </c>
      <c r="I7" s="62" t="n">
        <v>10</v>
      </c>
      <c r="J7" s="62" t="n">
        <v>11</v>
      </c>
      <c r="K7" s="62" t="n">
        <v>81</v>
      </c>
      <c r="L7" s="62" t="n">
        <v>65</v>
      </c>
    </row>
    <row r="8" customFormat="false" ht="11.9" hidden="false" customHeight="false" outlineLevel="0" collapsed="false">
      <c r="A8" s="60" t="s">
        <v>177</v>
      </c>
      <c r="B8" s="56" t="s">
        <v>157</v>
      </c>
      <c r="C8" s="56" t="s">
        <v>158</v>
      </c>
      <c r="D8" s="56" t="s">
        <v>50</v>
      </c>
      <c r="E8" s="57" t="s">
        <v>19</v>
      </c>
      <c r="F8" s="58" t="n">
        <v>60</v>
      </c>
      <c r="G8" s="59" t="n">
        <v>646</v>
      </c>
      <c r="H8" s="58" t="n">
        <v>21</v>
      </c>
      <c r="I8" s="58" t="n">
        <v>43</v>
      </c>
      <c r="J8" s="58" t="n">
        <v>205</v>
      </c>
      <c r="K8" s="58" t="n">
        <v>110</v>
      </c>
      <c r="L8" s="58" t="n">
        <v>218</v>
      </c>
    </row>
    <row r="9" customFormat="false" ht="11.9" hidden="false" customHeight="false" outlineLevel="0" collapsed="false">
      <c r="A9" s="60"/>
      <c r="B9" s="60" t="s">
        <v>159</v>
      </c>
      <c r="C9" s="60" t="s">
        <v>160</v>
      </c>
      <c r="D9" s="60" t="s">
        <v>52</v>
      </c>
      <c r="E9" s="61" t="s">
        <v>19</v>
      </c>
      <c r="F9" s="62" t="n">
        <v>60</v>
      </c>
      <c r="G9" s="63" t="n">
        <v>273</v>
      </c>
      <c r="H9" s="62" t="n">
        <v>0</v>
      </c>
      <c r="I9" s="62" t="n">
        <v>10</v>
      </c>
      <c r="J9" s="62" t="n">
        <v>37</v>
      </c>
      <c r="K9" s="62" t="n">
        <v>40</v>
      </c>
      <c r="L9" s="62" t="n">
        <v>0</v>
      </c>
    </row>
    <row r="10" customFormat="false" ht="11.9" hidden="false" customHeight="false" outlineLevel="0" collapsed="false">
      <c r="A10" s="60"/>
      <c r="B10" s="56" t="s">
        <v>161</v>
      </c>
      <c r="C10" s="56" t="s">
        <v>162</v>
      </c>
      <c r="D10" s="56" t="s">
        <v>54</v>
      </c>
      <c r="E10" s="57" t="s">
        <v>19</v>
      </c>
      <c r="F10" s="58" t="n">
        <v>60</v>
      </c>
      <c r="G10" s="59" t="n">
        <v>2422</v>
      </c>
      <c r="H10" s="58" t="n">
        <v>144</v>
      </c>
      <c r="I10" s="58" t="n">
        <v>449</v>
      </c>
      <c r="J10" s="58" t="n">
        <v>1780</v>
      </c>
      <c r="K10" s="58" t="n">
        <v>1372</v>
      </c>
      <c r="L10" s="58" t="n">
        <v>1798</v>
      </c>
    </row>
    <row r="11" customFormat="false" ht="11.9" hidden="false" customHeight="false" outlineLevel="0" collapsed="false">
      <c r="A11" s="60"/>
      <c r="B11" s="60" t="s">
        <v>169</v>
      </c>
      <c r="C11" s="60" t="s">
        <v>170</v>
      </c>
      <c r="D11" s="60" t="s">
        <v>56</v>
      </c>
      <c r="E11" s="61" t="s">
        <v>19</v>
      </c>
      <c r="F11" s="62" t="n">
        <v>60</v>
      </c>
      <c r="G11" s="63" t="n">
        <v>276</v>
      </c>
      <c r="H11" s="62" t="n">
        <v>19</v>
      </c>
      <c r="I11" s="62" t="n">
        <v>28</v>
      </c>
      <c r="J11" s="62" t="n">
        <v>119</v>
      </c>
      <c r="K11" s="62" t="n">
        <v>150</v>
      </c>
      <c r="L11" s="62" t="n">
        <v>74</v>
      </c>
    </row>
    <row r="12" customFormat="false" ht="11.9" hidden="false" customHeight="false" outlineLevel="0" collapsed="false">
      <c r="A12" s="60"/>
      <c r="B12" s="56" t="s">
        <v>171</v>
      </c>
      <c r="C12" s="56" t="s">
        <v>172</v>
      </c>
      <c r="D12" s="56" t="s">
        <v>58</v>
      </c>
      <c r="E12" s="57" t="s">
        <v>19</v>
      </c>
      <c r="F12" s="58" t="n">
        <v>60</v>
      </c>
      <c r="G12" s="59" t="n">
        <v>0</v>
      </c>
      <c r="H12" s="58" t="n">
        <v>0</v>
      </c>
      <c r="I12" s="58" t="n">
        <v>0</v>
      </c>
      <c r="J12" s="58" t="n">
        <v>0</v>
      </c>
      <c r="K12" s="58" t="n">
        <v>0</v>
      </c>
      <c r="L12" s="58" t="n">
        <v>0</v>
      </c>
    </row>
    <row r="13" customFormat="false" ht="11.9" hidden="false" customHeight="false" outlineLevel="0" collapsed="false">
      <c r="A13" s="60"/>
      <c r="B13" s="60" t="s">
        <v>173</v>
      </c>
      <c r="C13" s="60" t="s">
        <v>174</v>
      </c>
      <c r="D13" s="60" t="s">
        <v>60</v>
      </c>
      <c r="E13" s="61" t="s">
        <v>19</v>
      </c>
      <c r="F13" s="62" t="n">
        <v>12</v>
      </c>
      <c r="G13" s="63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2" t="n"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32.44"/>
    <col collapsed="false" customWidth="true" hidden="false" outlineLevel="0" max="2" min="2" style="0" width="13.89"/>
    <col collapsed="false" customWidth="true" hidden="false" outlineLevel="0" max="4" min="4" style="0" width="7.89"/>
    <col collapsed="false" customWidth="true" hidden="false" outlineLevel="0" max="5" min="5" style="0" width="14.78"/>
    <col collapsed="false" customWidth="true" hidden="false" outlineLevel="0" max="6" min="6" style="0" width="21.11"/>
    <col collapsed="false" customWidth="true" hidden="false" outlineLevel="0" max="7" min="7" style="0" width="12"/>
  </cols>
  <sheetData>
    <row r="1" customFormat="false" ht="12.65" hidden="false" customHeight="false" outlineLevel="0" collapsed="false">
      <c r="A1" s="53" t="s">
        <v>2</v>
      </c>
      <c r="B1" s="54" t="s">
        <v>13</v>
      </c>
      <c r="C1" s="53" t="s">
        <v>149</v>
      </c>
      <c r="D1" s="53" t="s">
        <v>14</v>
      </c>
      <c r="E1" s="55" t="s">
        <v>150</v>
      </c>
      <c r="F1" s="55" t="s">
        <v>151</v>
      </c>
      <c r="G1" s="55" t="s">
        <v>152</v>
      </c>
      <c r="H1" s="55" t="s">
        <v>153</v>
      </c>
      <c r="I1" s="55" t="s">
        <v>154</v>
      </c>
      <c r="J1" s="55" t="s">
        <v>155</v>
      </c>
      <c r="K1" s="55" t="s">
        <v>156</v>
      </c>
    </row>
    <row r="2" customFormat="false" ht="11.9" hidden="false" customHeight="false" outlineLevel="0" collapsed="false">
      <c r="A2" s="56" t="s">
        <v>157</v>
      </c>
      <c r="B2" s="57" t="s">
        <v>158</v>
      </c>
      <c r="C2" s="56" t="s">
        <v>50</v>
      </c>
      <c r="D2" s="56" t="s">
        <v>19</v>
      </c>
      <c r="E2" s="58" t="n">
        <v>60</v>
      </c>
      <c r="F2" s="59" t="n">
        <v>544</v>
      </c>
      <c r="G2" s="58" t="n">
        <v>464</v>
      </c>
      <c r="H2" s="58" t="n">
        <v>103</v>
      </c>
      <c r="I2" s="58" t="n">
        <v>453</v>
      </c>
      <c r="J2" s="58" t="n">
        <v>124</v>
      </c>
      <c r="K2" s="58" t="n">
        <v>153</v>
      </c>
    </row>
    <row r="3" customFormat="false" ht="11.9" hidden="false" customHeight="false" outlineLevel="0" collapsed="false">
      <c r="A3" s="60" t="s">
        <v>159</v>
      </c>
      <c r="B3" s="61" t="s">
        <v>160</v>
      </c>
      <c r="C3" s="60" t="s">
        <v>52</v>
      </c>
      <c r="D3" s="60" t="s">
        <v>19</v>
      </c>
      <c r="E3" s="62" t="n">
        <v>60</v>
      </c>
      <c r="F3" s="63" t="n">
        <v>0</v>
      </c>
      <c r="G3" s="62" t="n">
        <v>120</v>
      </c>
      <c r="H3" s="62" t="n">
        <v>0</v>
      </c>
      <c r="I3" s="62" t="n">
        <v>60</v>
      </c>
      <c r="J3" s="62" t="n">
        <v>0</v>
      </c>
      <c r="K3" s="62" t="n">
        <v>0</v>
      </c>
    </row>
    <row r="4" customFormat="false" ht="11.9" hidden="false" customHeight="false" outlineLevel="0" collapsed="false">
      <c r="A4" s="56" t="s">
        <v>161</v>
      </c>
      <c r="B4" s="57" t="s">
        <v>162</v>
      </c>
      <c r="C4" s="56" t="s">
        <v>54</v>
      </c>
      <c r="D4" s="56" t="s">
        <v>19</v>
      </c>
      <c r="E4" s="58" t="n">
        <v>60</v>
      </c>
      <c r="F4" s="59" t="n">
        <v>340</v>
      </c>
      <c r="G4" s="58" t="n">
        <v>600</v>
      </c>
      <c r="H4" s="58" t="n">
        <v>305</v>
      </c>
      <c r="I4" s="58" t="n">
        <v>930</v>
      </c>
      <c r="J4" s="58" t="n">
        <v>240</v>
      </c>
      <c r="K4" s="58" t="n">
        <v>399</v>
      </c>
    </row>
    <row r="5" customFormat="false" ht="11.9" hidden="false" customHeight="false" outlineLevel="0" collapsed="false">
      <c r="A5" s="60" t="s">
        <v>163</v>
      </c>
      <c r="B5" s="61" t="s">
        <v>164</v>
      </c>
      <c r="C5" s="60" t="s">
        <v>165</v>
      </c>
      <c r="D5" s="60" t="s">
        <v>19</v>
      </c>
      <c r="E5" s="62" t="n">
        <v>14</v>
      </c>
      <c r="F5" s="63" t="n">
        <v>0</v>
      </c>
      <c r="G5" s="62" t="n">
        <v>0</v>
      </c>
      <c r="H5" s="62" t="n">
        <v>0</v>
      </c>
      <c r="I5" s="62" t="n">
        <v>0</v>
      </c>
      <c r="J5" s="62" t="n">
        <v>0</v>
      </c>
      <c r="K5" s="62" t="n">
        <v>0</v>
      </c>
    </row>
    <row r="6" customFormat="false" ht="11.9" hidden="false" customHeight="false" outlineLevel="0" collapsed="false">
      <c r="A6" s="56" t="s">
        <v>166</v>
      </c>
      <c r="B6" s="57" t="s">
        <v>167</v>
      </c>
      <c r="C6" s="56" t="s">
        <v>168</v>
      </c>
      <c r="D6" s="56" t="s">
        <v>19</v>
      </c>
      <c r="E6" s="58" t="n">
        <v>14</v>
      </c>
      <c r="F6" s="59" t="n">
        <v>0</v>
      </c>
      <c r="G6" s="58" t="n">
        <v>0</v>
      </c>
      <c r="H6" s="58" t="n">
        <v>0</v>
      </c>
      <c r="I6" s="58" t="n">
        <v>0</v>
      </c>
      <c r="J6" s="58" t="n">
        <v>0</v>
      </c>
      <c r="K6" s="58" t="n">
        <v>0</v>
      </c>
    </row>
    <row r="7" customFormat="false" ht="11.9" hidden="false" customHeight="false" outlineLevel="0" collapsed="false">
      <c r="A7" s="60" t="s">
        <v>169</v>
      </c>
      <c r="B7" s="61" t="s">
        <v>170</v>
      </c>
      <c r="C7" s="60" t="s">
        <v>56</v>
      </c>
      <c r="D7" s="60" t="s">
        <v>19</v>
      </c>
      <c r="E7" s="62" t="n">
        <v>60</v>
      </c>
      <c r="F7" s="63" t="n">
        <v>257</v>
      </c>
      <c r="G7" s="62" t="n">
        <v>360</v>
      </c>
      <c r="H7" s="62" t="n">
        <v>123</v>
      </c>
      <c r="I7" s="62" t="n">
        <v>289</v>
      </c>
      <c r="J7" s="62" t="n">
        <v>99</v>
      </c>
      <c r="K7" s="62" t="n">
        <v>141</v>
      </c>
    </row>
    <row r="8" customFormat="false" ht="11.9" hidden="false" customHeight="false" outlineLevel="0" collapsed="false">
      <c r="A8" s="56" t="s">
        <v>171</v>
      </c>
      <c r="B8" s="57" t="s">
        <v>172</v>
      </c>
      <c r="C8" s="56" t="s">
        <v>58</v>
      </c>
      <c r="D8" s="56" t="s">
        <v>19</v>
      </c>
      <c r="E8" s="58" t="n">
        <v>60</v>
      </c>
      <c r="F8" s="59" t="n">
        <v>0</v>
      </c>
      <c r="G8" s="58" t="n">
        <v>0</v>
      </c>
      <c r="H8" s="58" t="n">
        <v>0</v>
      </c>
      <c r="I8" s="58" t="n">
        <v>0</v>
      </c>
      <c r="J8" s="58" t="n">
        <v>0</v>
      </c>
      <c r="K8" s="58" t="n">
        <v>0</v>
      </c>
    </row>
    <row r="9" customFormat="false" ht="11.9" hidden="false" customHeight="false" outlineLevel="0" collapsed="false">
      <c r="A9" s="60" t="s">
        <v>173</v>
      </c>
      <c r="B9" s="61" t="s">
        <v>174</v>
      </c>
      <c r="C9" s="60" t="s">
        <v>60</v>
      </c>
      <c r="D9" s="60" t="s">
        <v>19</v>
      </c>
      <c r="E9" s="62" t="n">
        <v>12</v>
      </c>
      <c r="F9" s="63" t="n">
        <v>93</v>
      </c>
      <c r="G9" s="62" t="n">
        <v>300</v>
      </c>
      <c r="H9" s="62" t="n">
        <v>34</v>
      </c>
      <c r="I9" s="62" t="n">
        <v>171</v>
      </c>
      <c r="J9" s="62" t="n">
        <v>1</v>
      </c>
      <c r="K9" s="62" t="n">
        <v>72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11.66"/>
    <col collapsed="false" customWidth="true" hidden="false" outlineLevel="0" max="4" min="4" style="0" width="34.66"/>
    <col collapsed="false" customWidth="true" hidden="false" outlineLevel="0" max="6" min="6" style="0" width="8.88"/>
    <col collapsed="false" customWidth="true" hidden="false" outlineLevel="0" max="7" min="7" style="0" width="9.67"/>
    <col collapsed="false" customWidth="true" hidden="false" outlineLevel="0" max="8" min="8" style="0" width="11"/>
    <col collapsed="false" customWidth="true" hidden="false" outlineLevel="0" max="10" min="10" style="0" width="10.44"/>
    <col collapsed="false" customWidth="true" hidden="false" outlineLevel="0" max="11" min="11" style="0" width="9.56"/>
    <col collapsed="false" customWidth="true" hidden="false" outlineLevel="0" max="12" min="12" style="0" width="12"/>
    <col collapsed="false" customWidth="true" hidden="false" outlineLevel="0" max="13" min="13" style="0" width="14.22"/>
  </cols>
  <sheetData>
    <row r="1" customFormat="false" ht="14.15" hidden="false" customHeight="false" outlineLevel="0" collapsed="false">
      <c r="A1" s="64" t="s">
        <v>178</v>
      </c>
      <c r="B1" s="64" t="s">
        <v>179</v>
      </c>
      <c r="C1" s="65" t="s">
        <v>180</v>
      </c>
      <c r="D1" s="64" t="s">
        <v>181</v>
      </c>
      <c r="E1" s="66" t="s">
        <v>182</v>
      </c>
      <c r="F1" s="66" t="s">
        <v>183</v>
      </c>
      <c r="G1" s="66" t="s">
        <v>184</v>
      </c>
      <c r="H1" s="66" t="s">
        <v>185</v>
      </c>
      <c r="I1" s="66" t="s">
        <v>186</v>
      </c>
      <c r="J1" s="66" t="s">
        <v>187</v>
      </c>
      <c r="K1" s="66" t="s">
        <v>188</v>
      </c>
      <c r="L1" s="65" t="s">
        <v>189</v>
      </c>
      <c r="M1" s="65" t="s">
        <v>190</v>
      </c>
    </row>
    <row r="2" customFormat="false" ht="14.15" hidden="false" customHeight="false" outlineLevel="0" collapsed="false">
      <c r="A2" s="67" t="n">
        <v>581401</v>
      </c>
      <c r="B2" s="67" t="n">
        <v>11137</v>
      </c>
      <c r="C2" s="68" t="n">
        <v>7898902180981</v>
      </c>
      <c r="D2" s="67" t="s">
        <v>191</v>
      </c>
      <c r="E2" s="69" t="n">
        <v>256</v>
      </c>
      <c r="F2" s="70" t="n">
        <v>52</v>
      </c>
      <c r="G2" s="70" t="n">
        <v>45</v>
      </c>
      <c r="H2" s="70" t="n">
        <v>54</v>
      </c>
      <c r="I2" s="70" t="n">
        <v>76</v>
      </c>
      <c r="J2" s="70" t="n">
        <v>40</v>
      </c>
      <c r="K2" s="70" t="n">
        <v>7</v>
      </c>
      <c r="L2" s="71" t="n">
        <v>46296</v>
      </c>
      <c r="M2" s="71" t="n">
        <v>46327</v>
      </c>
    </row>
    <row r="3" customFormat="false" ht="14.15" hidden="false" customHeight="false" outlineLevel="0" collapsed="false">
      <c r="A3" s="72" t="n">
        <v>581401</v>
      </c>
      <c r="B3" s="72" t="n">
        <v>15249</v>
      </c>
      <c r="C3" s="73" t="n">
        <v>7898902180745</v>
      </c>
      <c r="D3" s="72" t="s">
        <v>192</v>
      </c>
      <c r="E3" s="69" t="n">
        <v>258</v>
      </c>
      <c r="F3" s="74" t="n">
        <v>13</v>
      </c>
      <c r="G3" s="74" t="n">
        <v>14</v>
      </c>
      <c r="H3" s="74" t="n">
        <v>2</v>
      </c>
      <c r="I3" s="74" t="n">
        <v>14</v>
      </c>
      <c r="J3" s="74" t="n">
        <v>6</v>
      </c>
      <c r="K3" s="74" t="n">
        <v>1</v>
      </c>
      <c r="L3" s="75" t="n">
        <v>46266</v>
      </c>
      <c r="M3" s="75" t="n">
        <v>46327</v>
      </c>
    </row>
    <row r="4" customFormat="false" ht="14.15" hidden="false" customHeight="false" outlineLevel="0" collapsed="false">
      <c r="A4" s="67" t="n">
        <v>581401</v>
      </c>
      <c r="B4" s="67" t="n">
        <v>15250</v>
      </c>
      <c r="C4" s="68" t="n">
        <v>7898902180752</v>
      </c>
      <c r="D4" s="67" t="s">
        <v>193</v>
      </c>
      <c r="E4" s="69" t="s">
        <v>194</v>
      </c>
      <c r="F4" s="70" t="s">
        <v>194</v>
      </c>
      <c r="G4" s="70" t="s">
        <v>194</v>
      </c>
      <c r="H4" s="70" t="s">
        <v>194</v>
      </c>
      <c r="I4" s="70" t="s">
        <v>194</v>
      </c>
      <c r="J4" s="70" t="s">
        <v>194</v>
      </c>
      <c r="K4" s="70" t="s">
        <v>194</v>
      </c>
      <c r="L4" s="68" t="s">
        <v>195</v>
      </c>
      <c r="M4" s="68" t="s">
        <v>195</v>
      </c>
    </row>
    <row r="5" customFormat="false" ht="14.15" hidden="false" customHeight="false" outlineLevel="0" collapsed="false">
      <c r="A5" s="72" t="n">
        <v>581401</v>
      </c>
      <c r="B5" s="72" t="n">
        <v>15251</v>
      </c>
      <c r="C5" s="73" t="n">
        <v>7898902180998</v>
      </c>
      <c r="D5" s="72" t="s">
        <v>196</v>
      </c>
      <c r="E5" s="69" t="n">
        <v>357</v>
      </c>
      <c r="F5" s="74" t="n">
        <v>93</v>
      </c>
      <c r="G5" s="74" t="n">
        <v>137</v>
      </c>
      <c r="H5" s="74" t="n">
        <v>32</v>
      </c>
      <c r="I5" s="74" t="n">
        <v>100</v>
      </c>
      <c r="J5" s="74" t="n">
        <v>34</v>
      </c>
      <c r="K5" s="74" t="n">
        <v>27</v>
      </c>
      <c r="L5" s="75" t="n">
        <v>46296</v>
      </c>
      <c r="M5" s="75" t="n">
        <v>46327</v>
      </c>
    </row>
    <row r="6" customFormat="false" ht="14.15" hidden="false" customHeight="false" outlineLevel="0" collapsed="false">
      <c r="A6" s="67" t="n">
        <v>581401</v>
      </c>
      <c r="B6" s="67" t="n">
        <v>15338</v>
      </c>
      <c r="C6" s="68" t="n">
        <v>7898902180134</v>
      </c>
      <c r="D6" s="67" t="s">
        <v>197</v>
      </c>
      <c r="E6" s="69" t="n">
        <v>186</v>
      </c>
      <c r="F6" s="70" t="n">
        <v>275</v>
      </c>
      <c r="G6" s="70" t="n">
        <v>561</v>
      </c>
      <c r="H6" s="70" t="n">
        <v>392</v>
      </c>
      <c r="I6" s="70" t="n">
        <v>146</v>
      </c>
      <c r="J6" s="70" t="n">
        <v>133</v>
      </c>
      <c r="K6" s="70" t="n">
        <v>55</v>
      </c>
      <c r="L6" s="71" t="n">
        <v>46327</v>
      </c>
      <c r="M6" s="68" t="s">
        <v>195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11.56"/>
    <col collapsed="false" customWidth="true" hidden="false" outlineLevel="0" max="4" min="4" style="0" width="34.56"/>
    <col collapsed="false" customWidth="true" hidden="false" outlineLevel="0" max="8" min="8" style="0" width="10.22"/>
    <col collapsed="false" customWidth="true" hidden="false" outlineLevel="0" max="10" min="10" style="0" width="10.33"/>
    <col collapsed="false" customWidth="true" hidden="false" outlineLevel="0" max="12" min="12" style="0" width="12.22"/>
    <col collapsed="false" customWidth="true" hidden="false" outlineLevel="0" max="13" min="13" style="0" width="11.56"/>
  </cols>
  <sheetData>
    <row r="1" customFormat="false" ht="14.15" hidden="false" customHeight="false" outlineLevel="0" collapsed="false">
      <c r="A1" s="64" t="s">
        <v>178</v>
      </c>
      <c r="B1" s="64" t="s">
        <v>179</v>
      </c>
      <c r="C1" s="65" t="s">
        <v>180</v>
      </c>
      <c r="D1" s="64" t="s">
        <v>181</v>
      </c>
      <c r="E1" s="66" t="s">
        <v>182</v>
      </c>
      <c r="F1" s="66" t="s">
        <v>183</v>
      </c>
      <c r="G1" s="66" t="s">
        <v>184</v>
      </c>
      <c r="H1" s="66" t="s">
        <v>185</v>
      </c>
      <c r="I1" s="66" t="s">
        <v>186</v>
      </c>
      <c r="J1" s="66" t="s">
        <v>187</v>
      </c>
      <c r="K1" s="66" t="s">
        <v>188</v>
      </c>
      <c r="L1" s="65" t="s">
        <v>189</v>
      </c>
      <c r="M1" s="65" t="s">
        <v>190</v>
      </c>
    </row>
    <row r="2" customFormat="false" ht="26.85" hidden="false" customHeight="false" outlineLevel="0" collapsed="false">
      <c r="A2" s="67" t="n">
        <v>546433</v>
      </c>
      <c r="B2" s="67" t="n">
        <v>12330</v>
      </c>
      <c r="C2" s="68" t="n">
        <v>7898902180981</v>
      </c>
      <c r="D2" s="67" t="s">
        <v>191</v>
      </c>
      <c r="E2" s="69" t="n">
        <v>76</v>
      </c>
      <c r="F2" s="70" t="n">
        <v>11</v>
      </c>
      <c r="G2" s="70" t="n">
        <v>4</v>
      </c>
      <c r="H2" s="70" t="n">
        <v>3</v>
      </c>
      <c r="I2" s="70" t="n">
        <v>13</v>
      </c>
      <c r="J2" s="70" t="n">
        <v>16</v>
      </c>
      <c r="K2" s="70" t="n">
        <v>3</v>
      </c>
      <c r="L2" s="71" t="n">
        <v>46023</v>
      </c>
      <c r="M2" s="71" t="n">
        <v>46143</v>
      </c>
    </row>
    <row r="3" customFormat="false" ht="14.15" hidden="false" customHeight="false" outlineLevel="0" collapsed="false">
      <c r="A3" s="72" t="n">
        <v>546433</v>
      </c>
      <c r="B3" s="72" t="n">
        <v>12331</v>
      </c>
      <c r="C3" s="73" t="n">
        <v>7898902180745</v>
      </c>
      <c r="D3" s="72" t="s">
        <v>198</v>
      </c>
      <c r="E3" s="69" t="n">
        <v>102</v>
      </c>
      <c r="F3" s="74" t="n">
        <v>17</v>
      </c>
      <c r="G3" s="74" t="n">
        <v>18</v>
      </c>
      <c r="H3" s="74" t="n">
        <v>7</v>
      </c>
      <c r="I3" s="74" t="n">
        <v>14</v>
      </c>
      <c r="J3" s="74" t="n">
        <v>3</v>
      </c>
      <c r="K3" s="74" t="n">
        <v>2</v>
      </c>
      <c r="L3" s="75" t="n">
        <v>46266</v>
      </c>
      <c r="M3" s="75" t="n">
        <v>46327</v>
      </c>
    </row>
    <row r="4" customFormat="false" ht="14.15" hidden="false" customHeight="false" outlineLevel="0" collapsed="false">
      <c r="A4" s="67" t="n">
        <v>546433</v>
      </c>
      <c r="B4" s="67" t="n">
        <v>12332</v>
      </c>
      <c r="C4" s="68" t="n">
        <v>7898902180752</v>
      </c>
      <c r="D4" s="67" t="s">
        <v>199</v>
      </c>
      <c r="E4" s="69" t="s">
        <v>194</v>
      </c>
      <c r="F4" s="70" t="n">
        <v>7</v>
      </c>
      <c r="G4" s="70" t="s">
        <v>194</v>
      </c>
      <c r="H4" s="70" t="n">
        <v>3</v>
      </c>
      <c r="I4" s="70" t="s">
        <v>194</v>
      </c>
      <c r="J4" s="70" t="s">
        <v>194</v>
      </c>
      <c r="K4" s="70" t="s">
        <v>194</v>
      </c>
      <c r="L4" s="68" t="s">
        <v>195</v>
      </c>
      <c r="M4" s="68" t="s">
        <v>195</v>
      </c>
    </row>
    <row r="5" customFormat="false" ht="14.15" hidden="false" customHeight="false" outlineLevel="0" collapsed="false">
      <c r="A5" s="72" t="n">
        <v>546433</v>
      </c>
      <c r="B5" s="72" t="n">
        <v>12333</v>
      </c>
      <c r="C5" s="73" t="n">
        <v>7898902180998</v>
      </c>
      <c r="D5" s="72" t="s">
        <v>200</v>
      </c>
      <c r="E5" s="69" t="n">
        <v>250</v>
      </c>
      <c r="F5" s="74" t="n">
        <v>17</v>
      </c>
      <c r="G5" s="74" t="n">
        <v>47</v>
      </c>
      <c r="H5" s="74" t="n">
        <v>13</v>
      </c>
      <c r="I5" s="74" t="n">
        <v>10</v>
      </c>
      <c r="J5" s="74" t="n">
        <v>29</v>
      </c>
      <c r="K5" s="74" t="n">
        <v>5</v>
      </c>
      <c r="L5" s="75" t="n">
        <v>46296</v>
      </c>
      <c r="M5" s="75" t="n">
        <v>46327</v>
      </c>
    </row>
    <row r="6" customFormat="false" ht="14.15" hidden="false" customHeight="false" outlineLevel="0" collapsed="false">
      <c r="A6" s="67" t="n">
        <v>546433</v>
      </c>
      <c r="B6" s="67" t="n">
        <v>12402</v>
      </c>
      <c r="C6" s="68" t="n">
        <v>7898902180134</v>
      </c>
      <c r="D6" s="67" t="s">
        <v>201</v>
      </c>
      <c r="E6" s="69" t="n">
        <v>461</v>
      </c>
      <c r="F6" s="70" t="n">
        <v>241</v>
      </c>
      <c r="G6" s="70" t="n">
        <v>21</v>
      </c>
      <c r="H6" s="70" t="n">
        <v>73</v>
      </c>
      <c r="I6" s="70" t="n">
        <v>185</v>
      </c>
      <c r="J6" s="70" t="n">
        <v>53</v>
      </c>
      <c r="K6" s="70" t="n">
        <v>104</v>
      </c>
      <c r="L6" s="71" t="n">
        <v>46327</v>
      </c>
      <c r="M6" s="71" t="n">
        <v>46327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11.11"/>
    <col collapsed="false" customWidth="true" hidden="false" outlineLevel="0" max="4" min="4" style="0" width="31.44"/>
    <col collapsed="false" customWidth="true" hidden="false" outlineLevel="0" max="8" min="8" style="0" width="10.88"/>
    <col collapsed="false" customWidth="true" hidden="false" outlineLevel="0" max="10" min="10" style="0" width="10.88"/>
    <col collapsed="false" customWidth="true" hidden="false" outlineLevel="0" max="11" min="11" style="0" width="9"/>
    <col collapsed="false" customWidth="true" hidden="false" outlineLevel="0" max="12" min="12" style="0" width="10.66"/>
    <col collapsed="false" customWidth="true" hidden="false" outlineLevel="0" max="13" min="13" style="0" width="11.33"/>
  </cols>
  <sheetData>
    <row r="1" customFormat="false" ht="14.15" hidden="false" customHeight="false" outlineLevel="0" collapsed="false">
      <c r="A1" s="64" t="s">
        <v>178</v>
      </c>
      <c r="B1" s="64" t="s">
        <v>179</v>
      </c>
      <c r="C1" s="65" t="s">
        <v>180</v>
      </c>
      <c r="D1" s="64" t="s">
        <v>181</v>
      </c>
      <c r="E1" s="66" t="s">
        <v>182</v>
      </c>
      <c r="F1" s="66" t="s">
        <v>183</v>
      </c>
      <c r="G1" s="66" t="s">
        <v>184</v>
      </c>
      <c r="H1" s="66" t="s">
        <v>185</v>
      </c>
      <c r="I1" s="66" t="s">
        <v>186</v>
      </c>
      <c r="J1" s="66" t="s">
        <v>187</v>
      </c>
      <c r="K1" s="66" t="s">
        <v>188</v>
      </c>
      <c r="L1" s="65" t="s">
        <v>189</v>
      </c>
      <c r="M1" s="65" t="s">
        <v>190</v>
      </c>
    </row>
    <row r="2" customFormat="false" ht="26.85" hidden="false" customHeight="false" outlineLevel="0" collapsed="false">
      <c r="A2" s="76" t="n">
        <v>342145</v>
      </c>
      <c r="B2" s="76" t="n">
        <v>19499</v>
      </c>
      <c r="C2" s="77" t="n">
        <v>7898902180981</v>
      </c>
      <c r="D2" s="76" t="s">
        <v>191</v>
      </c>
      <c r="E2" s="78" t="n">
        <v>63</v>
      </c>
      <c r="F2" s="79" t="n">
        <v>17</v>
      </c>
      <c r="G2" s="79" t="n">
        <v>31</v>
      </c>
      <c r="H2" s="79" t="n">
        <v>13</v>
      </c>
      <c r="I2" s="79" t="n">
        <v>11</v>
      </c>
      <c r="J2" s="79" t="n">
        <v>8</v>
      </c>
      <c r="K2" s="79" t="s">
        <v>194</v>
      </c>
      <c r="L2" s="80" t="n">
        <v>46327</v>
      </c>
      <c r="M2" s="80" t="n">
        <v>46419</v>
      </c>
    </row>
    <row r="3" customFormat="false" ht="14.15" hidden="false" customHeight="false" outlineLevel="0" collapsed="false">
      <c r="A3" s="81" t="n">
        <v>342145</v>
      </c>
      <c r="B3" s="81" t="n">
        <v>19500</v>
      </c>
      <c r="C3" s="82" t="n">
        <v>7898902180745</v>
      </c>
      <c r="D3" s="81" t="s">
        <v>192</v>
      </c>
      <c r="E3" s="78" t="n">
        <v>81</v>
      </c>
      <c r="F3" s="83" t="n">
        <v>43</v>
      </c>
      <c r="G3" s="83" t="n">
        <v>61</v>
      </c>
      <c r="H3" s="83" t="n">
        <v>36</v>
      </c>
      <c r="I3" s="83" t="n">
        <v>19</v>
      </c>
      <c r="J3" s="83" t="n">
        <v>1</v>
      </c>
      <c r="K3" s="83" t="n">
        <v>3</v>
      </c>
      <c r="L3" s="84" t="n">
        <v>46327</v>
      </c>
      <c r="M3" s="84" t="n">
        <v>46327</v>
      </c>
    </row>
    <row r="4" customFormat="false" ht="14.15" hidden="false" customHeight="false" outlineLevel="0" collapsed="false">
      <c r="A4" s="76" t="n">
        <v>342145</v>
      </c>
      <c r="B4" s="76" t="n">
        <v>19501</v>
      </c>
      <c r="C4" s="77" t="n">
        <v>7898902180752</v>
      </c>
      <c r="D4" s="76" t="s">
        <v>193</v>
      </c>
      <c r="E4" s="78" t="n">
        <v>61</v>
      </c>
      <c r="F4" s="79" t="n">
        <v>13</v>
      </c>
      <c r="G4" s="79" t="n">
        <v>17</v>
      </c>
      <c r="H4" s="79" t="n">
        <v>2</v>
      </c>
      <c r="I4" s="79" t="n">
        <v>17</v>
      </c>
      <c r="J4" s="79" t="n">
        <v>4</v>
      </c>
      <c r="K4" s="79" t="n">
        <v>2</v>
      </c>
      <c r="L4" s="80" t="n">
        <v>45870</v>
      </c>
      <c r="M4" s="77" t="s">
        <v>195</v>
      </c>
    </row>
    <row r="5" customFormat="false" ht="14.15" hidden="false" customHeight="false" outlineLevel="0" collapsed="false">
      <c r="A5" s="81" t="n">
        <v>342145</v>
      </c>
      <c r="B5" s="81" t="n">
        <v>19502</v>
      </c>
      <c r="C5" s="82" t="n">
        <v>7898902180998</v>
      </c>
      <c r="D5" s="81" t="s">
        <v>196</v>
      </c>
      <c r="E5" s="78" t="n">
        <v>411</v>
      </c>
      <c r="F5" s="83" t="n">
        <v>90</v>
      </c>
      <c r="G5" s="83" t="n">
        <v>89</v>
      </c>
      <c r="H5" s="83" t="n">
        <v>42</v>
      </c>
      <c r="I5" s="83" t="n">
        <v>42</v>
      </c>
      <c r="J5" s="83" t="n">
        <v>44</v>
      </c>
      <c r="K5" s="83" t="n">
        <v>14</v>
      </c>
      <c r="L5" s="84" t="n">
        <v>46296</v>
      </c>
      <c r="M5" s="84" t="n">
        <v>46327</v>
      </c>
    </row>
    <row r="6" customFormat="false" ht="26.85" hidden="false" customHeight="false" outlineLevel="0" collapsed="false">
      <c r="A6" s="76" t="n">
        <v>342145</v>
      </c>
      <c r="B6" s="76" t="n">
        <v>19672</v>
      </c>
      <c r="C6" s="77" t="n">
        <v>7898902180134</v>
      </c>
      <c r="D6" s="76" t="s">
        <v>197</v>
      </c>
      <c r="E6" s="78" t="n">
        <v>600</v>
      </c>
      <c r="F6" s="79" t="n">
        <v>143</v>
      </c>
      <c r="G6" s="79" t="n">
        <v>333</v>
      </c>
      <c r="H6" s="79" t="n">
        <v>229</v>
      </c>
      <c r="I6" s="79" t="n">
        <v>156</v>
      </c>
      <c r="J6" s="79" t="n">
        <v>243</v>
      </c>
      <c r="K6" s="79" t="s">
        <v>194</v>
      </c>
      <c r="L6" s="80" t="n">
        <v>46478</v>
      </c>
      <c r="M6" s="77" t="s">
        <v>195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14.44"/>
    <col collapsed="false" customWidth="true" hidden="false" outlineLevel="0" max="3" min="3" style="0" width="15.56"/>
    <col collapsed="false" customWidth="true" hidden="false" outlineLevel="0" max="4" min="4" style="0" width="11"/>
    <col collapsed="false" customWidth="true" hidden="false" outlineLevel="0" max="5" min="5" style="0" width="40.88"/>
    <col collapsed="false" customWidth="true" hidden="false" outlineLevel="0" max="6" min="6" style="0" width="13.44"/>
    <col collapsed="false" customWidth="true" hidden="false" outlineLevel="0" max="7" min="7" style="0" width="7.34"/>
    <col collapsed="false" customWidth="true" hidden="false" outlineLevel="0" max="8" min="8" style="0" width="6.33"/>
    <col collapsed="false" customWidth="true" hidden="false" outlineLevel="0" max="11" min="11" style="0" width="10.56"/>
    <col collapsed="false" customWidth="true" hidden="false" outlineLevel="0" max="12" min="12" style="0" width="22.89"/>
  </cols>
  <sheetData>
    <row r="1" customFormat="false" ht="13.8" hidden="false" customHeight="false" outlineLevel="0" collapsed="false">
      <c r="A1" s="85" t="s">
        <v>202</v>
      </c>
      <c r="B1" s="85" t="s">
        <v>203</v>
      </c>
      <c r="C1" s="85" t="s">
        <v>204</v>
      </c>
      <c r="D1" s="85" t="s">
        <v>13</v>
      </c>
      <c r="E1" s="85" t="s">
        <v>2</v>
      </c>
      <c r="F1" s="85" t="s">
        <v>205</v>
      </c>
      <c r="G1" s="85" t="s">
        <v>206</v>
      </c>
      <c r="H1" s="85" t="s">
        <v>207</v>
      </c>
      <c r="I1" s="85" t="s">
        <v>208</v>
      </c>
      <c r="J1" s="85" t="s">
        <v>209</v>
      </c>
      <c r="K1" s="85" t="s">
        <v>210</v>
      </c>
      <c r="L1" s="85" t="s">
        <v>14</v>
      </c>
    </row>
    <row r="2" customFormat="false" ht="13.8" hidden="false" customHeight="false" outlineLevel="0" collapsed="false">
      <c r="A2" s="86" t="s">
        <v>211</v>
      </c>
      <c r="B2" s="86" t="n">
        <v>213306</v>
      </c>
      <c r="C2" s="86" t="s">
        <v>60</v>
      </c>
      <c r="D2" s="86" t="n">
        <v>7898902180981</v>
      </c>
      <c r="E2" s="86" t="s">
        <v>212</v>
      </c>
      <c r="F2" s="87" t="n">
        <v>109</v>
      </c>
      <c r="G2" s="86" t="n">
        <v>9</v>
      </c>
      <c r="H2" s="86" t="n">
        <v>38</v>
      </c>
      <c r="I2" s="86" t="n">
        <v>25</v>
      </c>
      <c r="J2" s="86" t="n">
        <v>45</v>
      </c>
      <c r="K2" s="86" t="s">
        <v>213</v>
      </c>
      <c r="L2" s="86" t="s">
        <v>214</v>
      </c>
    </row>
    <row r="3" customFormat="false" ht="13.8" hidden="false" customHeight="false" outlineLevel="0" collapsed="false">
      <c r="A3" s="86" t="s">
        <v>211</v>
      </c>
      <c r="B3" s="86" t="n">
        <v>213307</v>
      </c>
      <c r="C3" s="86" t="s">
        <v>56</v>
      </c>
      <c r="D3" s="86" t="n">
        <v>7898902180745</v>
      </c>
      <c r="E3" s="86" t="s">
        <v>215</v>
      </c>
      <c r="F3" s="87" t="n">
        <v>273</v>
      </c>
      <c r="G3" s="86" t="n">
        <v>68</v>
      </c>
      <c r="H3" s="86" t="n">
        <v>28</v>
      </c>
      <c r="I3" s="86" t="n">
        <v>51</v>
      </c>
      <c r="J3" s="86" t="n">
        <v>119</v>
      </c>
      <c r="K3" s="86" t="s">
        <v>213</v>
      </c>
      <c r="L3" s="86" t="s">
        <v>216</v>
      </c>
    </row>
    <row r="4" customFormat="false" ht="13.8" hidden="false" customHeight="false" outlineLevel="0" collapsed="false">
      <c r="A4" s="86" t="s">
        <v>211</v>
      </c>
      <c r="B4" s="86" t="n">
        <v>213308</v>
      </c>
      <c r="C4" s="86" t="s">
        <v>58</v>
      </c>
      <c r="D4" s="86" t="n">
        <v>7898902180752</v>
      </c>
      <c r="E4" s="86" t="s">
        <v>217</v>
      </c>
      <c r="F4" s="87" t="n">
        <v>0</v>
      </c>
      <c r="G4" s="86" t="n">
        <v>0</v>
      </c>
      <c r="H4" s="86" t="n">
        <v>0</v>
      </c>
      <c r="I4" s="86" t="n">
        <v>0</v>
      </c>
      <c r="J4" s="86" t="n">
        <v>0</v>
      </c>
      <c r="K4" s="86" t="s">
        <v>218</v>
      </c>
      <c r="L4" s="86" t="s">
        <v>216</v>
      </c>
    </row>
    <row r="5" customFormat="false" ht="13.8" hidden="false" customHeight="false" outlineLevel="0" collapsed="false">
      <c r="A5" s="86" t="s">
        <v>211</v>
      </c>
      <c r="B5" s="86" t="n">
        <v>213309</v>
      </c>
      <c r="C5" s="86" t="s">
        <v>50</v>
      </c>
      <c r="D5" s="86" t="n">
        <v>7898902180998</v>
      </c>
      <c r="E5" s="86" t="s">
        <v>219</v>
      </c>
      <c r="F5" s="87" t="n">
        <v>622</v>
      </c>
      <c r="G5" s="86" t="n">
        <v>72</v>
      </c>
      <c r="H5" s="86" t="n">
        <v>283</v>
      </c>
      <c r="I5" s="86" t="n">
        <v>245</v>
      </c>
      <c r="J5" s="86" t="n">
        <v>213</v>
      </c>
      <c r="K5" s="86" t="s">
        <v>213</v>
      </c>
      <c r="L5" s="86" t="s">
        <v>216</v>
      </c>
    </row>
    <row r="6" customFormat="false" ht="13.8" hidden="false" customHeight="false" outlineLevel="0" collapsed="false">
      <c r="A6" s="86" t="s">
        <v>211</v>
      </c>
      <c r="B6" s="86" t="n">
        <v>213693</v>
      </c>
      <c r="C6" s="86" t="s">
        <v>54</v>
      </c>
      <c r="D6" s="86" t="n">
        <v>7898902180134</v>
      </c>
      <c r="E6" s="86" t="s">
        <v>220</v>
      </c>
      <c r="F6" s="87" t="n">
        <v>2396</v>
      </c>
      <c r="G6" s="86" t="n">
        <v>293</v>
      </c>
      <c r="H6" s="86" t="n">
        <v>750</v>
      </c>
      <c r="I6" s="86" t="n">
        <v>1200</v>
      </c>
      <c r="J6" s="86" t="n">
        <v>691</v>
      </c>
      <c r="K6" s="86" t="s">
        <v>213</v>
      </c>
      <c r="L6" s="86" t="s">
        <v>216</v>
      </c>
    </row>
    <row r="7" customFormat="false" ht="13.8" hidden="false" customHeight="false" outlineLevel="0" collapsed="false">
      <c r="A7" s="86" t="s">
        <v>211</v>
      </c>
      <c r="B7" s="86" t="n">
        <v>215701</v>
      </c>
      <c r="C7" s="86" t="s">
        <v>52</v>
      </c>
      <c r="D7" s="86" t="n">
        <v>7898902180387</v>
      </c>
      <c r="E7" s="86" t="s">
        <v>221</v>
      </c>
      <c r="F7" s="87" t="n">
        <v>292</v>
      </c>
      <c r="G7" s="86" t="n">
        <v>1</v>
      </c>
      <c r="H7" s="86" t="n">
        <v>5</v>
      </c>
      <c r="I7" s="86" t="n">
        <v>2</v>
      </c>
      <c r="J7" s="86" t="n">
        <v>0</v>
      </c>
      <c r="K7" s="86" t="s">
        <v>222</v>
      </c>
      <c r="L7" s="86" t="s">
        <v>216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false" defaultGridColor="true" view="normal" topLeftCell="A3" colorId="64" zoomScale="100" zoomScaleNormal="100" zoomScalePageLayoutView="100" workbookViewId="0">
      <selection pane="topLeft" activeCell="H28" activeCellId="0" sqref="H28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14.44"/>
    <col collapsed="false" customWidth="true" hidden="false" outlineLevel="0" max="3" min="3" style="0" width="15.56"/>
    <col collapsed="false" customWidth="true" hidden="false" outlineLevel="0" max="4" min="4" style="0" width="11"/>
    <col collapsed="false" customWidth="true" hidden="false" outlineLevel="0" max="5" min="5" style="0" width="40.88"/>
    <col collapsed="false" customWidth="true" hidden="false" outlineLevel="0" max="6" min="6" style="0" width="13.44"/>
    <col collapsed="false" customWidth="true" hidden="false" outlineLevel="0" max="11" min="11" style="0" width="10.56"/>
    <col collapsed="false" customWidth="true" hidden="false" outlineLevel="0" max="12" min="12" style="0" width="22.89"/>
  </cols>
  <sheetData>
    <row r="1" customFormat="false" ht="13.8" hidden="false" customHeight="false" outlineLevel="0" collapsed="false">
      <c r="A1" s="85" t="s">
        <v>202</v>
      </c>
      <c r="B1" s="85" t="s">
        <v>203</v>
      </c>
      <c r="C1" s="85" t="s">
        <v>204</v>
      </c>
      <c r="D1" s="85" t="s">
        <v>13</v>
      </c>
      <c r="E1" s="85" t="s">
        <v>2</v>
      </c>
      <c r="F1" s="85" t="s">
        <v>205</v>
      </c>
      <c r="G1" s="85" t="s">
        <v>206</v>
      </c>
      <c r="H1" s="85" t="s">
        <v>207</v>
      </c>
      <c r="I1" s="85" t="s">
        <v>208</v>
      </c>
      <c r="J1" s="85" t="s">
        <v>209</v>
      </c>
      <c r="K1" s="85" t="s">
        <v>210</v>
      </c>
      <c r="L1" s="85" t="s">
        <v>14</v>
      </c>
    </row>
    <row r="2" customFormat="false" ht="13.8" hidden="false" customHeight="false" outlineLevel="0" collapsed="false">
      <c r="A2" s="86" t="s">
        <v>223</v>
      </c>
      <c r="B2" s="86" t="n">
        <v>213306</v>
      </c>
      <c r="C2" s="86" t="s">
        <v>60</v>
      </c>
      <c r="D2" s="86" t="n">
        <v>7898902180981</v>
      </c>
      <c r="E2" s="86" t="s">
        <v>212</v>
      </c>
      <c r="F2" s="87" t="n">
        <v>0</v>
      </c>
      <c r="G2" s="86" t="n">
        <v>0</v>
      </c>
      <c r="H2" s="86" t="n">
        <v>0</v>
      </c>
      <c r="I2" s="86" t="n">
        <v>0</v>
      </c>
      <c r="J2" s="86" t="n">
        <v>0</v>
      </c>
      <c r="K2" s="86"/>
      <c r="L2" s="86" t="s">
        <v>214</v>
      </c>
    </row>
    <row r="3" customFormat="false" ht="13.8" hidden="false" customHeight="false" outlineLevel="0" collapsed="false">
      <c r="A3" s="86" t="s">
        <v>224</v>
      </c>
      <c r="B3" s="86" t="n">
        <v>213306</v>
      </c>
      <c r="C3" s="86" t="s">
        <v>60</v>
      </c>
      <c r="D3" s="86" t="n">
        <v>7898902180981</v>
      </c>
      <c r="E3" s="86" t="s">
        <v>212</v>
      </c>
      <c r="F3" s="87" t="n">
        <v>177</v>
      </c>
      <c r="G3" s="86" t="n">
        <v>14</v>
      </c>
      <c r="H3" s="86" t="n">
        <v>4</v>
      </c>
      <c r="I3" s="86" t="n">
        <v>53</v>
      </c>
      <c r="J3" s="86" t="n">
        <v>46</v>
      </c>
      <c r="K3" s="86" t="s">
        <v>225</v>
      </c>
      <c r="L3" s="86" t="s">
        <v>214</v>
      </c>
    </row>
    <row r="4" customFormat="false" ht="13.8" hidden="false" customHeight="false" outlineLevel="0" collapsed="false">
      <c r="A4" s="86" t="s">
        <v>224</v>
      </c>
      <c r="B4" s="86" t="n">
        <v>213307</v>
      </c>
      <c r="C4" s="86" t="s">
        <v>56</v>
      </c>
      <c r="D4" s="86" t="n">
        <v>7898902180745</v>
      </c>
      <c r="E4" s="86" t="s">
        <v>215</v>
      </c>
      <c r="F4" s="87" t="n">
        <v>0</v>
      </c>
      <c r="G4" s="86" t="n">
        <v>0</v>
      </c>
      <c r="H4" s="86" t="n">
        <v>0</v>
      </c>
      <c r="I4" s="86" t="n">
        <v>0</v>
      </c>
      <c r="J4" s="86" t="n">
        <v>0</v>
      </c>
      <c r="K4" s="86"/>
      <c r="L4" s="86" t="s">
        <v>216</v>
      </c>
    </row>
    <row r="5" customFormat="false" ht="13.8" hidden="false" customHeight="false" outlineLevel="0" collapsed="false">
      <c r="A5" s="86" t="s">
        <v>223</v>
      </c>
      <c r="B5" s="86" t="n">
        <v>213307</v>
      </c>
      <c r="C5" s="86" t="s">
        <v>56</v>
      </c>
      <c r="D5" s="86" t="n">
        <v>7898902180745</v>
      </c>
      <c r="E5" s="86" t="s">
        <v>215</v>
      </c>
      <c r="F5" s="87" t="n">
        <v>264</v>
      </c>
      <c r="G5" s="86" t="n">
        <v>37</v>
      </c>
      <c r="H5" s="86" t="n">
        <v>50</v>
      </c>
      <c r="I5" s="86" t="n">
        <v>140</v>
      </c>
      <c r="J5" s="86" t="n">
        <v>62</v>
      </c>
      <c r="K5" s="86" t="s">
        <v>226</v>
      </c>
      <c r="L5" s="86" t="s">
        <v>216</v>
      </c>
    </row>
    <row r="6" customFormat="false" ht="13.8" hidden="false" customHeight="false" outlineLevel="0" collapsed="false">
      <c r="A6" s="86" t="s">
        <v>224</v>
      </c>
      <c r="B6" s="86" t="n">
        <v>213308</v>
      </c>
      <c r="C6" s="86" t="s">
        <v>58</v>
      </c>
      <c r="D6" s="86" t="n">
        <v>7898902180752</v>
      </c>
      <c r="E6" s="86" t="s">
        <v>217</v>
      </c>
      <c r="F6" s="87" t="n">
        <v>0</v>
      </c>
      <c r="G6" s="86" t="n">
        <v>0</v>
      </c>
      <c r="H6" s="86" t="n">
        <v>0</v>
      </c>
      <c r="I6" s="86" t="n">
        <v>0</v>
      </c>
      <c r="J6" s="86" t="n">
        <v>0</v>
      </c>
      <c r="K6" s="86"/>
      <c r="L6" s="86" t="s">
        <v>216</v>
      </c>
    </row>
    <row r="7" customFormat="false" ht="13.8" hidden="false" customHeight="false" outlineLevel="0" collapsed="false">
      <c r="A7" s="86" t="s">
        <v>223</v>
      </c>
      <c r="B7" s="86" t="n">
        <v>213308</v>
      </c>
      <c r="C7" s="86" t="s">
        <v>58</v>
      </c>
      <c r="D7" s="86" t="n">
        <v>7898902180752</v>
      </c>
      <c r="E7" s="86" t="s">
        <v>217</v>
      </c>
      <c r="F7" s="87" t="n">
        <v>0</v>
      </c>
      <c r="G7" s="86" t="n">
        <v>0</v>
      </c>
      <c r="H7" s="86" t="n">
        <v>10</v>
      </c>
      <c r="I7" s="86" t="n">
        <v>22</v>
      </c>
      <c r="J7" s="86" t="n">
        <v>16</v>
      </c>
      <c r="K7" s="86" t="s">
        <v>227</v>
      </c>
      <c r="L7" s="86" t="s">
        <v>216</v>
      </c>
    </row>
    <row r="8" customFormat="false" ht="13.8" hidden="false" customHeight="false" outlineLevel="0" collapsed="false">
      <c r="A8" s="86" t="s">
        <v>223</v>
      </c>
      <c r="B8" s="86" t="n">
        <v>213309</v>
      </c>
      <c r="C8" s="86" t="s">
        <v>50</v>
      </c>
      <c r="D8" s="86" t="n">
        <v>7898902180998</v>
      </c>
      <c r="E8" s="86" t="s">
        <v>219</v>
      </c>
      <c r="F8" s="87" t="n">
        <v>973</v>
      </c>
      <c r="G8" s="86" t="n">
        <v>235</v>
      </c>
      <c r="H8" s="86" t="n">
        <v>380</v>
      </c>
      <c r="I8" s="86" t="n">
        <v>410</v>
      </c>
      <c r="J8" s="86" t="n">
        <v>612</v>
      </c>
      <c r="K8" s="86" t="s">
        <v>226</v>
      </c>
      <c r="L8" s="86" t="s">
        <v>216</v>
      </c>
    </row>
    <row r="9" customFormat="false" ht="13.8" hidden="false" customHeight="false" outlineLevel="0" collapsed="false">
      <c r="A9" s="86" t="s">
        <v>224</v>
      </c>
      <c r="B9" s="86" t="n">
        <v>213309</v>
      </c>
      <c r="C9" s="86" t="s">
        <v>50</v>
      </c>
      <c r="D9" s="86" t="n">
        <v>7898902180998</v>
      </c>
      <c r="E9" s="86" t="s">
        <v>219</v>
      </c>
      <c r="F9" s="87" t="n">
        <v>0</v>
      </c>
      <c r="G9" s="86" t="n">
        <v>0</v>
      </c>
      <c r="H9" s="86" t="n">
        <v>0</v>
      </c>
      <c r="I9" s="86" t="n">
        <v>0</v>
      </c>
      <c r="J9" s="86" t="n">
        <v>0</v>
      </c>
      <c r="K9" s="86"/>
      <c r="L9" s="86" t="s">
        <v>216</v>
      </c>
    </row>
    <row r="10" customFormat="false" ht="13.8" hidden="false" customHeight="false" outlineLevel="0" collapsed="false">
      <c r="A10" s="86" t="s">
        <v>223</v>
      </c>
      <c r="B10" s="86" t="n">
        <v>213693</v>
      </c>
      <c r="C10" s="86" t="s">
        <v>54</v>
      </c>
      <c r="D10" s="86" t="n">
        <v>7898902180134</v>
      </c>
      <c r="E10" s="86" t="s">
        <v>220</v>
      </c>
      <c r="F10" s="87" t="n">
        <v>3157</v>
      </c>
      <c r="G10" s="86" t="n">
        <v>774</v>
      </c>
      <c r="H10" s="86" t="n">
        <v>1406</v>
      </c>
      <c r="I10" s="86" t="n">
        <v>1725</v>
      </c>
      <c r="J10" s="86" t="n">
        <v>1825</v>
      </c>
      <c r="K10" s="86" t="s">
        <v>226</v>
      </c>
      <c r="L10" s="86" t="s">
        <v>216</v>
      </c>
    </row>
    <row r="11" customFormat="false" ht="13.8" hidden="false" customHeight="false" outlineLevel="0" collapsed="false">
      <c r="A11" s="86" t="s">
        <v>224</v>
      </c>
      <c r="B11" s="86" t="n">
        <v>213693</v>
      </c>
      <c r="C11" s="86" t="s">
        <v>54</v>
      </c>
      <c r="D11" s="86" t="n">
        <v>7898902180134</v>
      </c>
      <c r="E11" s="86" t="s">
        <v>220</v>
      </c>
      <c r="F11" s="87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/>
      <c r="L11" s="86" t="s">
        <v>216</v>
      </c>
    </row>
    <row r="12" customFormat="false" ht="13.8" hidden="false" customHeight="false" outlineLevel="0" collapsed="false">
      <c r="A12" s="86" t="s">
        <v>224</v>
      </c>
      <c r="B12" s="86" t="n">
        <v>215701</v>
      </c>
      <c r="C12" s="86" t="s">
        <v>52</v>
      </c>
      <c r="D12" s="86" t="n">
        <v>7898902180387</v>
      </c>
      <c r="E12" s="86" t="s">
        <v>221</v>
      </c>
      <c r="F12" s="87" t="n">
        <v>0</v>
      </c>
      <c r="G12" s="86" t="n">
        <v>0</v>
      </c>
      <c r="H12" s="86" t="n">
        <v>0</v>
      </c>
      <c r="I12" s="86" t="n">
        <v>0</v>
      </c>
      <c r="J12" s="86" t="n">
        <v>0</v>
      </c>
      <c r="K12" s="86"/>
      <c r="L12" s="86" t="s">
        <v>216</v>
      </c>
    </row>
    <row r="13" customFormat="false" ht="13.8" hidden="false" customHeight="false" outlineLevel="0" collapsed="false">
      <c r="A13" s="86" t="s">
        <v>223</v>
      </c>
      <c r="B13" s="86" t="n">
        <v>215701</v>
      </c>
      <c r="C13" s="86" t="s">
        <v>52</v>
      </c>
      <c r="D13" s="86" t="n">
        <v>7898902180387</v>
      </c>
      <c r="E13" s="86" t="s">
        <v>221</v>
      </c>
      <c r="F13" s="87" t="n">
        <v>544</v>
      </c>
      <c r="G13" s="86" t="n">
        <v>4</v>
      </c>
      <c r="H13" s="86" t="n">
        <v>15</v>
      </c>
      <c r="I13" s="86" t="n">
        <v>37</v>
      </c>
      <c r="J13" s="86" t="n">
        <v>0</v>
      </c>
      <c r="K13" s="86" t="s">
        <v>228</v>
      </c>
      <c r="L13" s="86" t="s">
        <v>216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6171875" defaultRowHeight="9.75" customHeight="true" zeroHeight="false" outlineLevelRow="0" outlineLevelCol="0"/>
  <cols>
    <col collapsed="false" customWidth="true" hidden="false" outlineLevel="0" max="2" min="2" style="0" width="10.78"/>
    <col collapsed="false" customWidth="true" hidden="false" outlineLevel="0" max="3" min="3" style="0" width="14.81"/>
    <col collapsed="false" customWidth="true" hidden="false" outlineLevel="0" max="4" min="4" style="0" width="35.78"/>
    <col collapsed="false" customWidth="true" hidden="false" outlineLevel="0" max="5" min="5" style="0" width="28.89"/>
    <col collapsed="false" customWidth="true" hidden="false" outlineLevel="0" max="6" min="6" style="0" width="13.66"/>
  </cols>
  <sheetData>
    <row r="1" customFormat="false" ht="9.75" hidden="false" customHeight="false" outlineLevel="0" collapsed="false">
      <c r="A1" s="88" t="s">
        <v>229</v>
      </c>
      <c r="B1" s="89" t="s">
        <v>149</v>
      </c>
      <c r="C1" s="89" t="s">
        <v>13</v>
      </c>
      <c r="D1" s="89" t="s">
        <v>230</v>
      </c>
      <c r="E1" s="89" t="s">
        <v>231</v>
      </c>
      <c r="F1" s="89" t="s">
        <v>232</v>
      </c>
      <c r="G1" s="89" t="s">
        <v>35</v>
      </c>
      <c r="H1" s="90" t="s">
        <v>233</v>
      </c>
      <c r="I1" s="90" t="s">
        <v>234</v>
      </c>
      <c r="J1" s="90" t="s">
        <v>235</v>
      </c>
      <c r="K1" s="91" t="s">
        <v>236</v>
      </c>
    </row>
    <row r="2" customFormat="false" ht="9.75" hidden="false" customHeight="false" outlineLevel="0" collapsed="false">
      <c r="A2" s="92" t="n">
        <v>31676</v>
      </c>
      <c r="B2" s="93" t="str">
        <f aca="false">VLOOKUP(A2,'[1]8163'!A$1:B$65536,2,0)</f>
        <v>900846</v>
      </c>
      <c r="C2" s="93" t="n">
        <f aca="false">VLOOKUP(A2,'[1]8163'!A$1:C$65536,3,0)</f>
        <v>7898902180998</v>
      </c>
      <c r="D2" s="94" t="str">
        <f aca="false">VLOOKUP(A2,'[1]8163'!A$1:E$65536,5,0)</f>
        <v>LEBON PRODUTOS QUIMICOS FARMACEUTICOS LTDA</v>
      </c>
      <c r="E2" s="94" t="str">
        <f aca="false">VLOOKUP(A2,'[1]8163'!A$1:F$65536,6,0)</f>
        <v>HYADROP 10 ML LEBON</v>
      </c>
      <c r="F2" s="95" t="n">
        <f aca="false">VLOOKUP(A2,'[1]8163'!A$1:M$65536,13,0)</f>
        <v>45813</v>
      </c>
      <c r="G2" s="96" t="n">
        <f aca="false">VLOOKUP(A2,'[1]8163'!A$1:P$65536,16,0)</f>
        <v>1066</v>
      </c>
      <c r="H2" s="97" t="n">
        <f aca="false">VLOOKUP(A2,'[1]8163'!A$1:S$65536,19,0)</f>
        <v>91</v>
      </c>
      <c r="I2" s="97" t="n">
        <f aca="false">VLOOKUP(A2,'[1]8163'!A$1:T$65536,20,0)</f>
        <v>238</v>
      </c>
      <c r="J2" s="98" t="n">
        <f aca="false">VLOOKUP(A2,'[1]8163'!A$1:U$65536,21,0)</f>
        <v>343</v>
      </c>
      <c r="K2" s="99" t="n">
        <f aca="false">VLOOKUP(A2,'[1]8163'!A$1:V$65536,22,0)</f>
        <v>288</v>
      </c>
    </row>
    <row r="3" customFormat="false" ht="9.75" hidden="false" customHeight="false" outlineLevel="0" collapsed="false">
      <c r="A3" s="92" t="n">
        <v>34589</v>
      </c>
      <c r="B3" s="93" t="str">
        <f aca="false">VLOOKUP(A3,'[1]8163'!A$1:B$65536,2,0)</f>
        <v>400946</v>
      </c>
      <c r="C3" s="93" t="n">
        <f aca="false">VLOOKUP(A3,'[1]8163'!A$1:C$65536,3,0)</f>
        <v>7898902180387</v>
      </c>
      <c r="D3" s="94" t="str">
        <f aca="false">VLOOKUP(A3,'[1]8163'!A$1:E$65536,5,0)</f>
        <v>LEBON PRODUTOS QUIMICOS FARMACEUTICOS LTDA</v>
      </c>
      <c r="E3" s="94" t="str">
        <f aca="false">VLOOKUP(A3,'[1]8163'!A$1:F$65536,6,0)</f>
        <v>HYADROP PROTECT 0,15% 10ML (-) LEBON</v>
      </c>
      <c r="F3" s="95" t="n">
        <f aca="false">VLOOKUP(A3,'[1]8163'!A$1:M$65536,13,0)</f>
        <v>45769</v>
      </c>
      <c r="G3" s="96" t="n">
        <f aca="false">VLOOKUP(A3,'[1]8163'!A$1:P$65536,16,0)</f>
        <v>41</v>
      </c>
      <c r="H3" s="97" t="n">
        <f aca="false">VLOOKUP(A3,'[1]8163'!A$1:S$65536,19,0)</f>
        <v>7</v>
      </c>
      <c r="I3" s="97" t="n">
        <f aca="false">VLOOKUP(A3,'[1]8163'!A$1:T$65536,20,0)</f>
        <v>12</v>
      </c>
      <c r="J3" s="98" t="n">
        <f aca="false">VLOOKUP(A3,'[1]8163'!A$1:U$65536,21,0)</f>
        <v>0</v>
      </c>
      <c r="K3" s="100" t="n">
        <f aca="false">VLOOKUP(A3,'[1]8163'!A$1:V$65536,22,0)</f>
        <v>0</v>
      </c>
    </row>
    <row r="4" customFormat="false" ht="9.75" hidden="false" customHeight="false" outlineLevel="0" collapsed="false">
      <c r="A4" s="92" t="n">
        <v>32585</v>
      </c>
      <c r="B4" s="93" t="str">
        <f aca="false">VLOOKUP(A4,'[1]8163'!A$1:B$65536,2,0)</f>
        <v>400746</v>
      </c>
      <c r="C4" s="93" t="n">
        <f aca="false">VLOOKUP(A4,'[1]8163'!A$1:C$65536,3,0)</f>
        <v>7898902180134</v>
      </c>
      <c r="D4" s="94" t="str">
        <f aca="false">VLOOKUP(A4,'[1]8163'!A$1:E$65536,5,0)</f>
        <v>LEBON PRODUTOS QUIMICOS FARMACEUTICOS LTDA</v>
      </c>
      <c r="E4" s="94" t="str">
        <f aca="false">VLOOKUP(A4,'[1]8163'!A$1:F$65536,6,0)</f>
        <v>LACRIVISION 5MG FR C/10ML (-) LEBON</v>
      </c>
      <c r="F4" s="95" t="n">
        <f aca="false">VLOOKUP(A4,'[1]8163'!A$1:M$65536,13,0)</f>
        <v>45813</v>
      </c>
      <c r="G4" s="96" t="n">
        <f aca="false">VLOOKUP(A4,'[1]8163'!A$1:P$65536,16,0)</f>
        <v>2106</v>
      </c>
      <c r="H4" s="97" t="n">
        <f aca="false">VLOOKUP(A4,'[1]8163'!A$1:S$65536,19,0)</f>
        <v>255</v>
      </c>
      <c r="I4" s="97" t="n">
        <f aca="false">VLOOKUP(A4,'[1]8163'!A$1:T$65536,20,0)</f>
        <v>1030</v>
      </c>
      <c r="J4" s="98" t="n">
        <f aca="false">VLOOKUP(A4,'[1]8163'!A$1:U$65536,21,0)</f>
        <v>599</v>
      </c>
      <c r="K4" s="100" t="n">
        <f aca="false">VLOOKUP(A4,'[1]8163'!A$1:V$65536,22,0)</f>
        <v>1656</v>
      </c>
    </row>
    <row r="5" customFormat="false" ht="9.75" hidden="false" customHeight="false" outlineLevel="0" collapsed="false">
      <c r="A5" s="92" t="n">
        <v>31674</v>
      </c>
      <c r="B5" s="93" t="str">
        <f aca="false">VLOOKUP(A5,'[1]8163'!A$1:B$65536,2,0)</f>
        <v>900746</v>
      </c>
      <c r="C5" s="93" t="n">
        <f aca="false">VLOOKUP(A5,'[1]8163'!A$1:C$65536,3,0)</f>
        <v>7898902180745</v>
      </c>
      <c r="D5" s="94" t="str">
        <f aca="false">VLOOKUP(A5,'[1]8163'!A$1:E$65536,5,0)</f>
        <v>LEBON PRODUTOS QUIMICOS FARMACEUTICOS LTDA</v>
      </c>
      <c r="E5" s="94" t="str">
        <f aca="false">VLOOKUP(A5,'[1]8163'!A$1:F$65536,6,0)</f>
        <v>SUPRILAG UL 10ML LEBON</v>
      </c>
      <c r="F5" s="95" t="n">
        <f aca="false">VLOOKUP(A5,'[1]8163'!A$1:M$65536,13,0)</f>
        <v>45769</v>
      </c>
      <c r="G5" s="96" t="n">
        <f aca="false">VLOOKUP(A5,'[1]8163'!A$1:P$65536,16,0)</f>
        <v>246</v>
      </c>
      <c r="H5" s="97" t="n">
        <f aca="false">VLOOKUP(A5,'[1]8163'!A$1:S$65536,19,0)</f>
        <v>93</v>
      </c>
      <c r="I5" s="97" t="n">
        <f aca="false">VLOOKUP(A5,'[1]8163'!A$1:T$65536,20,0)</f>
        <v>357</v>
      </c>
      <c r="J5" s="98" t="n">
        <f aca="false">VLOOKUP(A5,'[1]8163'!A$1:U$65536,21,0)</f>
        <v>223</v>
      </c>
      <c r="K5" s="100" t="n">
        <f aca="false">VLOOKUP(A5,'[1]8163'!A$1:V$65536,22,0)</f>
        <v>537</v>
      </c>
    </row>
    <row r="6" customFormat="false" ht="9.75" hidden="false" customHeight="false" outlineLevel="0" collapsed="false">
      <c r="A6" s="92" t="n">
        <v>31677</v>
      </c>
      <c r="B6" s="93" t="str">
        <f aca="false">VLOOKUP(A6,'[1]8163'!A$1:B$65536,2,0)</f>
        <v>900747</v>
      </c>
      <c r="C6" s="93" t="n">
        <f aca="false">VLOOKUP(A6,'[1]8163'!A$1:C$65536,3,0)</f>
        <v>7898902180752</v>
      </c>
      <c r="D6" s="94" t="str">
        <f aca="false">VLOOKUP(A6,'[1]8163'!A$1:E$65536,5,0)</f>
        <v>LEBON PRODUTOS QUIMICOS FARMACEUTICOS LTDA</v>
      </c>
      <c r="E6" s="94" t="str">
        <f aca="false">VLOOKUP(A6,'[1]8163'!A$1:F$65536,6,0)</f>
        <v>SUPRILAG UL 15ML LEBON</v>
      </c>
      <c r="F6" s="95" t="n">
        <f aca="false">VLOOKUP(A6,'[1]8163'!A$1:M$65536,13,0)</f>
        <v>45539</v>
      </c>
      <c r="G6" s="96" t="n">
        <f aca="false">VLOOKUP(A6,'[1]8163'!A$1:P$65536,16,0)</f>
        <v>0</v>
      </c>
      <c r="H6" s="97" t="n">
        <f aca="false">VLOOKUP(A6,'[1]8163'!A$1:S$65536,19,0)</f>
        <v>0</v>
      </c>
      <c r="I6" s="97" t="n">
        <f aca="false">VLOOKUP(A6,'[1]8163'!A$1:T$65536,20,0)</f>
        <v>0</v>
      </c>
      <c r="J6" s="98" t="n">
        <f aca="false">VLOOKUP(A6,'[1]8163'!A$1:U$65536,21,0)</f>
        <v>0</v>
      </c>
      <c r="K6" s="100" t="n">
        <f aca="false">VLOOKUP(A6,'[1]8163'!A$1:V$65536,22,0)</f>
        <v>0</v>
      </c>
    </row>
    <row r="7" customFormat="false" ht="9.75" hidden="false" customHeight="false" outlineLevel="0" collapsed="false">
      <c r="A7" s="92" t="n">
        <v>31673</v>
      </c>
      <c r="B7" s="93" t="str">
        <f aca="false">VLOOKUP(A7,'[1]8163'!A$1:B$65536,2,0)</f>
        <v>1000350</v>
      </c>
      <c r="C7" s="93" t="n">
        <f aca="false">VLOOKUP(A7,'[1]8163'!A$1:C$65536,3,0)</f>
        <v>7898902180981</v>
      </c>
      <c r="D7" s="94" t="str">
        <f aca="false">VLOOKUP(A7,'[1]8163'!A$1:E$65536,5,0)</f>
        <v>LEBON PRODUTOS QUIMICOS FARMACEUTICOS LTDA</v>
      </c>
      <c r="E7" s="94" t="str">
        <f aca="false">VLOOKUP(A7,'[1]8163'!A$1:F$65536,6,0)</f>
        <v>TREALENS KIT LENTE (120ML+360ML)</v>
      </c>
      <c r="F7" s="95" t="n">
        <f aca="false">VLOOKUP(A7,'[1]8163'!A$1:M$65536,13,0)</f>
        <v>45385</v>
      </c>
      <c r="G7" s="96" t="n">
        <f aca="false">VLOOKUP(A7,'[1]8163'!A$1:P$65536,16,0)</f>
        <v>591</v>
      </c>
      <c r="H7" s="97" t="n">
        <f aca="false">VLOOKUP(A7,'[1]8163'!A$1:S$65536,19,0)</f>
        <v>15</v>
      </c>
      <c r="I7" s="97" t="n">
        <f aca="false">VLOOKUP(A7,'[1]8163'!A$1:T$65536,20,0)</f>
        <v>28</v>
      </c>
      <c r="J7" s="98" t="n">
        <f aca="false">VLOOKUP(A7,'[1]8163'!A$1:U$65536,21,0)</f>
        <v>23</v>
      </c>
      <c r="K7" s="100" t="n">
        <f aca="false">VLOOKUP(A7,'[1]8163'!A$1:V$65536,22,0)</f>
        <v>43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13"/>
  <sheetViews>
    <sheetView showFormulas="false" showGridLines="true" showRowColHeaders="true" showZeros="true" rightToLeft="false" tabSelected="false" showOutlineSymbols="false" defaultGridColor="true" view="normal" topLeftCell="C2" colorId="64" zoomScale="100" zoomScaleNormal="100" zoomScalePageLayoutView="100" workbookViewId="0">
      <selection pane="topLeft" activeCell="W7" activeCellId="0" sqref="W7"/>
    </sheetView>
  </sheetViews>
  <sheetFormatPr defaultColWidth="6.88671875" defaultRowHeight="12" customHeight="true" zeroHeight="false" outlineLevelRow="0" outlineLevelCol="4"/>
  <cols>
    <col collapsed="false" customWidth="true" hidden="true" outlineLevel="4" max="1" min="1" style="101" width="9.67"/>
    <col collapsed="false" customWidth="true" hidden="true" outlineLevel="4" max="2" min="2" style="101" width="12.44"/>
    <col collapsed="false" customWidth="true" hidden="false" outlineLevel="0" max="3" min="3" style="101" width="13.03"/>
    <col collapsed="false" customWidth="true" hidden="false" outlineLevel="0" max="4" min="4" style="101" width="40.11"/>
    <col collapsed="false" customWidth="true" hidden="false" outlineLevel="0" max="5" min="5" style="101" width="12.44"/>
    <col collapsed="false" customWidth="true" hidden="true" outlineLevel="1" max="6" min="6" style="101" width="30.11"/>
    <col collapsed="false" customWidth="true" hidden="true" outlineLevel="1" max="7" min="7" style="101" width="14"/>
    <col collapsed="false" customWidth="true" hidden="true" outlineLevel="1" max="8" min="8" style="101" width="2.56"/>
    <col collapsed="false" customWidth="true" hidden="true" outlineLevel="1" max="9" min="9" style="101" width="10.11"/>
    <col collapsed="false" customWidth="true" hidden="true" outlineLevel="1" max="10" min="10" style="101" width="5"/>
    <col collapsed="false" customWidth="true" hidden="false" outlineLevel="0" max="11" min="11" style="101" width="3.44"/>
    <col collapsed="false" customWidth="true" hidden="false" outlineLevel="0" max="12" min="12" style="101" width="4"/>
    <col collapsed="false" customWidth="false" hidden="false" outlineLevel="0" max="13" min="13" style="101" width="6.89"/>
    <col collapsed="false" customWidth="true" hidden="false" outlineLevel="0" max="14" min="14" style="101" width="11.11"/>
    <col collapsed="false" customWidth="true" hidden="false" outlineLevel="0" max="15" min="15" style="102" width="9.34"/>
    <col collapsed="false" customWidth="true" hidden="false" outlineLevel="0" max="16" min="16" style="101" width="7.89"/>
    <col collapsed="false" customWidth="true" hidden="false" outlineLevel="0" max="17" min="17" style="101" width="9.88"/>
    <col collapsed="false" customWidth="true" hidden="false" outlineLevel="0" max="18" min="18" style="101" width="10.56"/>
    <col collapsed="false" customWidth="true" hidden="false" outlineLevel="0" max="19" min="19" style="101" width="10"/>
    <col collapsed="false" customWidth="true" hidden="false" outlineLevel="0" max="20" min="20" style="101" width="11"/>
    <col collapsed="false" customWidth="true" hidden="false" outlineLevel="0" max="22" min="21" style="101" width="10.44"/>
    <col collapsed="false" customWidth="true" hidden="false" outlineLevel="0" max="23" min="23" style="101" width="9.67"/>
    <col collapsed="false" customWidth="true" hidden="false" outlineLevel="0" max="24" min="24" style="101" width="10.11"/>
    <col collapsed="false" customWidth="true" hidden="false" outlineLevel="0" max="26" min="25" style="101" width="10.33"/>
    <col collapsed="false" customWidth="true" hidden="false" outlineLevel="0" max="27" min="27" style="101" width="10"/>
    <col collapsed="false" customWidth="true" hidden="false" outlineLevel="0" max="28" min="28" style="101" width="10.11"/>
    <col collapsed="false" customWidth="true" hidden="false" outlineLevel="0" max="29" min="29" style="101" width="9.88"/>
    <col collapsed="false" customWidth="true" hidden="false" outlineLevel="0" max="32" min="30" style="103" width="8.34"/>
    <col collapsed="false" customWidth="true" hidden="false" outlineLevel="0" max="33" min="33" style="103" width="6.66"/>
    <col collapsed="false" customWidth="false" hidden="false" outlineLevel="0" max="34" min="34" style="103" width="6.89"/>
    <col collapsed="false" customWidth="true" hidden="false" outlineLevel="0" max="35" min="35" style="101" width="5.11"/>
    <col collapsed="false" customWidth="false" hidden="false" outlineLevel="0" max="16384" min="36" style="101" width="6.89"/>
  </cols>
  <sheetData>
    <row r="1" customFormat="false" ht="17.35" hidden="false" customHeight="false" outlineLevel="0" collapsed="false">
      <c r="A1" s="104"/>
      <c r="C1" s="105"/>
      <c r="D1" s="106" t="n">
        <v>45824</v>
      </c>
      <c r="E1" s="105"/>
      <c r="F1" s="105"/>
      <c r="G1" s="105"/>
      <c r="H1" s="105"/>
      <c r="I1" s="105"/>
      <c r="J1" s="105"/>
      <c r="K1" s="105"/>
      <c r="L1" s="105"/>
      <c r="M1" s="107" t="n">
        <v>25550.98</v>
      </c>
      <c r="N1" s="107"/>
      <c r="O1" s="107"/>
      <c r="P1" s="107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8"/>
      <c r="AE1" s="108"/>
      <c r="AF1" s="108"/>
      <c r="AG1" s="108"/>
      <c r="AH1" s="108"/>
    </row>
    <row r="2" customFormat="false" ht="12" hidden="false" customHeight="false" outlineLevel="0" collapsed="false">
      <c r="C2" s="105"/>
      <c r="D2" s="105"/>
      <c r="E2" s="108"/>
      <c r="F2" s="105"/>
      <c r="G2" s="105"/>
      <c r="H2" s="105"/>
      <c r="I2" s="105"/>
      <c r="J2" s="105"/>
      <c r="K2" s="105"/>
      <c r="L2" s="105"/>
      <c r="M2" s="105"/>
      <c r="N2" s="109" t="s">
        <v>237</v>
      </c>
      <c r="O2" s="110" t="s">
        <v>238</v>
      </c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8"/>
      <c r="AE2" s="108"/>
      <c r="AF2" s="108"/>
      <c r="AG2" s="108"/>
      <c r="AH2" s="108"/>
    </row>
    <row r="3" customFormat="false" ht="12" hidden="false" customHeight="false" outlineLevel="0" collapsed="false">
      <c r="C3" s="105"/>
      <c r="D3" s="105"/>
      <c r="E3" s="108"/>
      <c r="F3" s="105"/>
      <c r="G3" s="105"/>
      <c r="H3" s="105"/>
      <c r="I3" s="105"/>
      <c r="J3" s="105"/>
      <c r="K3" s="105"/>
      <c r="L3" s="105"/>
      <c r="M3" s="105"/>
      <c r="N3" s="111" t="n">
        <v>10</v>
      </c>
      <c r="O3" s="111" t="n">
        <v>20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8"/>
      <c r="AE3" s="108"/>
      <c r="AF3" s="108"/>
      <c r="AG3" s="108"/>
      <c r="AH3" s="108"/>
    </row>
    <row r="4" customFormat="false" ht="13.5" hidden="false" customHeight="true" outlineLevel="0" collapsed="false">
      <c r="C4" s="105"/>
      <c r="D4" s="105"/>
      <c r="E4" s="108"/>
      <c r="F4" s="105"/>
      <c r="G4" s="105"/>
      <c r="H4" s="105"/>
      <c r="I4" s="105"/>
      <c r="J4" s="105"/>
      <c r="K4" s="105"/>
      <c r="L4" s="105"/>
      <c r="M4" s="105"/>
      <c r="N4" s="105"/>
      <c r="O4" s="112"/>
      <c r="P4" s="105"/>
      <c r="Q4" s="113" t="n">
        <v>45809</v>
      </c>
      <c r="R4" s="113" t="n">
        <v>45778</v>
      </c>
      <c r="S4" s="113" t="n">
        <v>45748</v>
      </c>
      <c r="T4" s="113" t="n">
        <v>45717</v>
      </c>
      <c r="U4" s="113" t="n">
        <v>45689</v>
      </c>
      <c r="V4" s="113" t="n">
        <v>45658</v>
      </c>
      <c r="W4" s="113" t="n">
        <v>45627</v>
      </c>
      <c r="X4" s="113" t="n">
        <v>45597</v>
      </c>
      <c r="Y4" s="113" t="n">
        <v>45566</v>
      </c>
      <c r="Z4" s="113" t="n">
        <v>45536</v>
      </c>
      <c r="AA4" s="113" t="n">
        <v>45505</v>
      </c>
      <c r="AB4" s="113" t="n">
        <v>45474</v>
      </c>
      <c r="AC4" s="113" t="n">
        <v>45444</v>
      </c>
      <c r="AD4" s="114" t="s">
        <v>239</v>
      </c>
      <c r="AE4" s="115" t="s">
        <v>240</v>
      </c>
      <c r="AF4" s="115" t="s">
        <v>241</v>
      </c>
      <c r="AG4" s="114" t="s">
        <v>242</v>
      </c>
      <c r="AH4" s="114" t="s">
        <v>243</v>
      </c>
    </row>
    <row r="5" customFormat="false" ht="12" hidden="false" customHeight="false" outlineLevel="0" collapsed="false">
      <c r="C5" s="105"/>
      <c r="D5" s="105"/>
      <c r="E5" s="108"/>
      <c r="F5" s="105"/>
      <c r="G5" s="105"/>
      <c r="H5" s="105"/>
      <c r="I5" s="105"/>
      <c r="J5" s="105"/>
      <c r="K5" s="105"/>
      <c r="L5" s="105"/>
      <c r="M5" s="105"/>
      <c r="N5" s="105"/>
      <c r="O5" s="116"/>
      <c r="P5" s="117" t="n">
        <v>3451</v>
      </c>
      <c r="Q5" s="118" t="n">
        <v>1018</v>
      </c>
      <c r="R5" s="119" t="n">
        <v>2170</v>
      </c>
      <c r="S5" s="119" t="n">
        <v>2567</v>
      </c>
      <c r="T5" s="119" t="n">
        <v>2362</v>
      </c>
      <c r="U5" s="119" t="n">
        <v>2885</v>
      </c>
      <c r="V5" s="119" t="n">
        <v>1762</v>
      </c>
      <c r="W5" s="119" t="n">
        <v>1622</v>
      </c>
      <c r="X5" s="119" t="n">
        <v>1387</v>
      </c>
      <c r="Y5" s="119" t="n">
        <v>1461</v>
      </c>
      <c r="Z5" s="119" t="n">
        <v>1443</v>
      </c>
      <c r="AA5" s="119" t="n">
        <v>1507</v>
      </c>
      <c r="AB5" s="119" t="n">
        <v>776</v>
      </c>
      <c r="AC5" s="119" t="n">
        <v>360</v>
      </c>
      <c r="AD5" s="120" t="n">
        <v>2292.5</v>
      </c>
      <c r="AE5" s="121"/>
      <c r="AF5" s="121"/>
      <c r="AG5" s="122" t="n">
        <v>1.50534351145038</v>
      </c>
      <c r="AH5" s="123" t="n">
        <v>45.1603053435115</v>
      </c>
    </row>
    <row r="6" customFormat="false" ht="10.5" hidden="false" customHeight="true" outlineLevel="0" collapsed="false"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16"/>
      <c r="P6" s="105"/>
      <c r="Q6" s="117"/>
      <c r="R6" s="124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08"/>
      <c r="AE6" s="108"/>
      <c r="AF6" s="108"/>
      <c r="AG6" s="108"/>
      <c r="AH6" s="108"/>
    </row>
    <row r="7" s="133" customFormat="true" ht="66" hidden="false" customHeight="true" outlineLevel="0" collapsed="false">
      <c r="A7" s="125" t="s">
        <v>244</v>
      </c>
      <c r="B7" s="126" t="s">
        <v>13</v>
      </c>
      <c r="C7" s="127" t="s">
        <v>245</v>
      </c>
      <c r="D7" s="127" t="s">
        <v>65</v>
      </c>
      <c r="E7" s="127" t="s">
        <v>246</v>
      </c>
      <c r="F7" s="127" t="s">
        <v>247</v>
      </c>
      <c r="G7" s="127" t="s">
        <v>248</v>
      </c>
      <c r="H7" s="127"/>
      <c r="I7" s="127" t="s">
        <v>249</v>
      </c>
      <c r="J7" s="127" t="s">
        <v>250</v>
      </c>
      <c r="K7" s="127"/>
      <c r="L7" s="128" t="s">
        <v>251</v>
      </c>
      <c r="M7" s="129" t="s">
        <v>252</v>
      </c>
      <c r="N7" s="130" t="s">
        <v>253</v>
      </c>
      <c r="O7" s="131" t="s">
        <v>254</v>
      </c>
      <c r="P7" s="132" t="s">
        <v>35</v>
      </c>
      <c r="Q7" s="113" t="n">
        <v>45809</v>
      </c>
      <c r="R7" s="113" t="n">
        <v>45778</v>
      </c>
      <c r="S7" s="113" t="n">
        <v>45748</v>
      </c>
      <c r="T7" s="113" t="n">
        <v>45717</v>
      </c>
      <c r="U7" s="113" t="n">
        <v>45689</v>
      </c>
      <c r="V7" s="113" t="n">
        <v>45658</v>
      </c>
      <c r="W7" s="113" t="n">
        <v>45627</v>
      </c>
      <c r="X7" s="113" t="n">
        <v>45597</v>
      </c>
      <c r="Y7" s="113" t="n">
        <v>45566</v>
      </c>
      <c r="Z7" s="113" t="n">
        <v>45536</v>
      </c>
      <c r="AA7" s="113" t="n">
        <v>45505</v>
      </c>
      <c r="AB7" s="113" t="n">
        <v>45474</v>
      </c>
      <c r="AC7" s="113" t="n">
        <v>45444</v>
      </c>
      <c r="AD7" s="115" t="s">
        <v>72</v>
      </c>
      <c r="AE7" s="115" t="s">
        <v>240</v>
      </c>
      <c r="AF7" s="115" t="s">
        <v>241</v>
      </c>
      <c r="AG7" s="114" t="s">
        <v>242</v>
      </c>
      <c r="AH7" s="114" t="s">
        <v>243</v>
      </c>
    </row>
    <row r="8" customFormat="false" ht="12" hidden="false" customHeight="false" outlineLevel="0" collapsed="false">
      <c r="A8" s="134" t="s">
        <v>56</v>
      </c>
      <c r="B8" s="135" t="n">
        <v>7898902180745</v>
      </c>
      <c r="C8" s="136" t="n">
        <v>31674</v>
      </c>
      <c r="D8" s="137" t="s">
        <v>255</v>
      </c>
      <c r="E8" s="137" t="s">
        <v>256</v>
      </c>
      <c r="F8" s="137" t="s">
        <v>257</v>
      </c>
      <c r="G8" s="137" t="n">
        <v>0</v>
      </c>
      <c r="H8" s="137"/>
      <c r="I8" s="137" t="s">
        <v>258</v>
      </c>
      <c r="J8" s="137" t="s">
        <v>259</v>
      </c>
      <c r="K8" s="137"/>
      <c r="L8" s="138"/>
      <c r="M8" s="137" t="n">
        <v>60</v>
      </c>
      <c r="N8" s="139" t="n">
        <v>45805</v>
      </c>
      <c r="O8" s="140" t="n">
        <v>120</v>
      </c>
      <c r="P8" s="141" t="n">
        <v>54</v>
      </c>
      <c r="Q8" s="118" t="n">
        <v>47</v>
      </c>
      <c r="R8" s="119" t="n">
        <v>39</v>
      </c>
      <c r="S8" s="119" t="n">
        <v>74</v>
      </c>
      <c r="T8" s="119" t="n">
        <v>48</v>
      </c>
      <c r="U8" s="119" t="n">
        <v>53</v>
      </c>
      <c r="V8" s="119" t="n">
        <v>56</v>
      </c>
      <c r="W8" s="119" t="n">
        <v>33</v>
      </c>
      <c r="X8" s="119" t="n">
        <v>53</v>
      </c>
      <c r="Y8" s="119" t="n">
        <v>22</v>
      </c>
      <c r="Z8" s="119" t="n">
        <v>60</v>
      </c>
      <c r="AA8" s="119" t="n">
        <v>22</v>
      </c>
      <c r="AB8" s="119" t="n">
        <v>50</v>
      </c>
      <c r="AC8" s="119" t="n">
        <v>26</v>
      </c>
      <c r="AD8" s="123" t="n">
        <v>63.75</v>
      </c>
      <c r="AE8" s="121" t="n">
        <v>19.9966663888426</v>
      </c>
      <c r="AF8" s="142" t="n">
        <v>0.313673198256354</v>
      </c>
      <c r="AG8" s="122" t="n">
        <v>0.847058823529412</v>
      </c>
      <c r="AH8" s="123" t="n">
        <v>25.4117647058824</v>
      </c>
    </row>
    <row r="9" customFormat="false" ht="12" hidden="false" customHeight="false" outlineLevel="0" collapsed="false">
      <c r="A9" s="134" t="s">
        <v>50</v>
      </c>
      <c r="B9" s="135" t="n">
        <v>7898902180998</v>
      </c>
      <c r="C9" s="136" t="n">
        <v>31676</v>
      </c>
      <c r="D9" s="137" t="s">
        <v>260</v>
      </c>
      <c r="E9" s="137" t="s">
        <v>256</v>
      </c>
      <c r="F9" s="137" t="s">
        <v>257</v>
      </c>
      <c r="G9" s="137" t="n">
        <v>0</v>
      </c>
      <c r="H9" s="137"/>
      <c r="I9" s="137" t="s">
        <v>258</v>
      </c>
      <c r="J9" s="137" t="s">
        <v>259</v>
      </c>
      <c r="K9" s="137"/>
      <c r="L9" s="138"/>
      <c r="M9" s="137" t="n">
        <v>60</v>
      </c>
      <c r="N9" s="139" t="n">
        <v>45764</v>
      </c>
      <c r="O9" s="140" t="n">
        <v>960</v>
      </c>
      <c r="P9" s="141" t="n">
        <v>1510</v>
      </c>
      <c r="Q9" s="118" t="n">
        <v>168</v>
      </c>
      <c r="R9" s="119" t="n">
        <v>457</v>
      </c>
      <c r="S9" s="119" t="n">
        <v>871</v>
      </c>
      <c r="T9" s="119" t="n">
        <v>899</v>
      </c>
      <c r="U9" s="119" t="n">
        <v>967</v>
      </c>
      <c r="V9" s="119" t="n">
        <v>977</v>
      </c>
      <c r="W9" s="119" t="n">
        <v>684</v>
      </c>
      <c r="X9" s="119" t="n">
        <v>1128</v>
      </c>
      <c r="Y9" s="119" t="n">
        <v>838</v>
      </c>
      <c r="Z9" s="119" t="n">
        <v>1015</v>
      </c>
      <c r="AA9" s="119" t="n">
        <v>1035</v>
      </c>
      <c r="AB9" s="119" t="n">
        <v>478</v>
      </c>
      <c r="AC9" s="119" t="n">
        <v>141</v>
      </c>
      <c r="AD9" s="123" t="n">
        <v>640.75</v>
      </c>
      <c r="AE9" s="121" t="n">
        <v>280.248758546165</v>
      </c>
      <c r="AF9" s="142" t="n">
        <v>0.437376135070098</v>
      </c>
      <c r="AG9" s="122" t="n">
        <v>2.35661334373781</v>
      </c>
      <c r="AH9" s="123" t="n">
        <v>70.6984003121342</v>
      </c>
    </row>
    <row r="10" customFormat="false" ht="12" hidden="false" customHeight="false" outlineLevel="0" collapsed="false">
      <c r="A10" s="134" t="s">
        <v>60</v>
      </c>
      <c r="B10" s="135" t="n">
        <v>7898902180981</v>
      </c>
      <c r="C10" s="136" t="n">
        <v>31673</v>
      </c>
      <c r="D10" s="137" t="s">
        <v>261</v>
      </c>
      <c r="E10" s="137" t="s">
        <v>256</v>
      </c>
      <c r="F10" s="137" t="s">
        <v>262</v>
      </c>
      <c r="G10" s="137" t="s">
        <v>263</v>
      </c>
      <c r="H10" s="137"/>
      <c r="I10" s="137" t="s">
        <v>258</v>
      </c>
      <c r="J10" s="137" t="s">
        <v>259</v>
      </c>
      <c r="K10" s="137"/>
      <c r="L10" s="138"/>
      <c r="M10" s="137" t="n">
        <v>12</v>
      </c>
      <c r="N10" s="139" t="n">
        <v>45805</v>
      </c>
      <c r="O10" s="140" t="n">
        <v>60</v>
      </c>
      <c r="P10" s="141" t="n">
        <v>24</v>
      </c>
      <c r="Q10" s="118" t="n">
        <v>34</v>
      </c>
      <c r="R10" s="119" t="n">
        <v>59</v>
      </c>
      <c r="S10" s="119" t="n">
        <v>29</v>
      </c>
      <c r="T10" s="119" t="n">
        <v>25</v>
      </c>
      <c r="U10" s="119" t="n">
        <v>15</v>
      </c>
      <c r="V10" s="119" t="n">
        <v>52</v>
      </c>
      <c r="W10" s="119" t="n">
        <v>36</v>
      </c>
      <c r="X10" s="119" t="n">
        <v>52</v>
      </c>
      <c r="Y10" s="119" t="n">
        <v>32</v>
      </c>
      <c r="Z10" s="119" t="n">
        <v>49</v>
      </c>
      <c r="AA10" s="119" t="n">
        <v>22</v>
      </c>
      <c r="AB10" s="119" t="n">
        <v>33</v>
      </c>
      <c r="AC10" s="119" t="n">
        <v>11</v>
      </c>
      <c r="AD10" s="123" t="n">
        <v>45.25</v>
      </c>
      <c r="AE10" s="121" t="n">
        <v>21.2100605059643</v>
      </c>
      <c r="AF10" s="142" t="n">
        <v>0.468730618916338</v>
      </c>
      <c r="AG10" s="122" t="n">
        <v>0.530386740331492</v>
      </c>
      <c r="AH10" s="123" t="n">
        <v>15.9116022099448</v>
      </c>
    </row>
    <row r="11" customFormat="false" ht="12" hidden="false" customHeight="false" outlineLevel="0" collapsed="false">
      <c r="A11" s="134" t="s">
        <v>54</v>
      </c>
      <c r="B11" s="135" t="n">
        <v>7898902180134</v>
      </c>
      <c r="C11" s="136" t="n">
        <v>32585</v>
      </c>
      <c r="D11" s="137" t="s">
        <v>264</v>
      </c>
      <c r="E11" s="137" t="s">
        <v>256</v>
      </c>
      <c r="F11" s="137" t="s">
        <v>257</v>
      </c>
      <c r="G11" s="137" t="n">
        <v>0</v>
      </c>
      <c r="H11" s="137"/>
      <c r="I11" s="137" t="s">
        <v>258</v>
      </c>
      <c r="J11" s="137" t="s">
        <v>259</v>
      </c>
      <c r="K11" s="137"/>
      <c r="L11" s="138"/>
      <c r="M11" s="137" t="n">
        <v>60</v>
      </c>
      <c r="N11" s="139" t="n">
        <v>45805</v>
      </c>
      <c r="O11" s="140" t="n">
        <v>1560</v>
      </c>
      <c r="P11" s="141" t="n">
        <v>1708</v>
      </c>
      <c r="Q11" s="118" t="n">
        <v>762</v>
      </c>
      <c r="R11" s="119" t="n">
        <v>1597</v>
      </c>
      <c r="S11" s="119" t="n">
        <v>1593</v>
      </c>
      <c r="T11" s="119" t="n">
        <v>1389</v>
      </c>
      <c r="U11" s="119" t="n">
        <v>1844</v>
      </c>
      <c r="V11" s="119" t="n">
        <v>661</v>
      </c>
      <c r="W11" s="119" t="n">
        <v>841</v>
      </c>
      <c r="X11" s="119" t="n">
        <v>152</v>
      </c>
      <c r="Y11" s="119" t="n">
        <v>539</v>
      </c>
      <c r="Z11" s="119" t="n">
        <v>303</v>
      </c>
      <c r="AA11" s="119" t="n">
        <v>394</v>
      </c>
      <c r="AB11" s="119" t="n">
        <v>189</v>
      </c>
      <c r="AC11" s="119" t="n">
        <v>174</v>
      </c>
      <c r="AD11" s="123" t="n">
        <v>1525.75</v>
      </c>
      <c r="AE11" s="121" t="n">
        <v>406.841820203709</v>
      </c>
      <c r="AF11" s="142" t="n">
        <v>0.266650381912966</v>
      </c>
      <c r="AG11" s="122" t="n">
        <v>1.11944945108963</v>
      </c>
      <c r="AH11" s="123" t="n">
        <v>33.5834835326888</v>
      </c>
    </row>
    <row r="12" customFormat="false" ht="12" hidden="false" customHeight="false" outlineLevel="0" collapsed="false">
      <c r="A12" s="134" t="s">
        <v>58</v>
      </c>
      <c r="B12" s="135" t="n">
        <v>7898902180752</v>
      </c>
      <c r="C12" s="136" t="n">
        <v>31677</v>
      </c>
      <c r="D12" s="137" t="s">
        <v>265</v>
      </c>
      <c r="E12" s="137" t="s">
        <v>256</v>
      </c>
      <c r="F12" s="137" t="s">
        <v>257</v>
      </c>
      <c r="G12" s="137" t="n">
        <v>0</v>
      </c>
      <c r="H12" s="137"/>
      <c r="I12" s="137" t="s">
        <v>258</v>
      </c>
      <c r="J12" s="137" t="s">
        <v>259</v>
      </c>
      <c r="K12" s="137"/>
      <c r="L12" s="138"/>
      <c r="M12" s="137" t="n">
        <v>60</v>
      </c>
      <c r="N12" s="139" t="n">
        <v>45156</v>
      </c>
      <c r="O12" s="140" t="n">
        <v>600</v>
      </c>
      <c r="P12" s="141" t="n">
        <v>0</v>
      </c>
      <c r="Q12" s="118" t="n">
        <v>0</v>
      </c>
      <c r="R12" s="119" t="n">
        <v>0</v>
      </c>
      <c r="S12" s="119" t="n">
        <v>0</v>
      </c>
      <c r="T12" s="119" t="n">
        <v>1</v>
      </c>
      <c r="U12" s="119" t="n">
        <v>6</v>
      </c>
      <c r="V12" s="119" t="n">
        <v>16</v>
      </c>
      <c r="W12" s="119" t="n">
        <v>28</v>
      </c>
      <c r="X12" s="119" t="n">
        <v>2</v>
      </c>
      <c r="Y12" s="119" t="n">
        <v>30</v>
      </c>
      <c r="Z12" s="119" t="n">
        <v>16</v>
      </c>
      <c r="AA12" s="119" t="n">
        <v>34</v>
      </c>
      <c r="AB12" s="119" t="n">
        <v>26</v>
      </c>
      <c r="AC12" s="119" t="n">
        <v>8</v>
      </c>
      <c r="AD12" s="123" t="n">
        <v>1</v>
      </c>
      <c r="AE12" s="121" t="n">
        <v>6.4005208121423</v>
      </c>
      <c r="AF12" s="142" t="n">
        <v>6.4005208121423</v>
      </c>
      <c r="AG12" s="122" t="n">
        <v>0</v>
      </c>
      <c r="AH12" s="123" t="n">
        <v>0</v>
      </c>
    </row>
    <row r="13" customFormat="false" ht="12" hidden="false" customHeight="false" outlineLevel="0" collapsed="false">
      <c r="A13" s="134" t="s">
        <v>52</v>
      </c>
      <c r="B13" s="135" t="n">
        <v>7898902180387</v>
      </c>
      <c r="C13" s="136" t="n">
        <v>34589</v>
      </c>
      <c r="D13" s="137" t="s">
        <v>266</v>
      </c>
      <c r="E13" s="137" t="s">
        <v>256</v>
      </c>
      <c r="F13" s="137" t="s">
        <v>267</v>
      </c>
      <c r="G13" s="137" t="n">
        <v>0</v>
      </c>
      <c r="H13" s="137"/>
      <c r="I13" s="137" t="s">
        <v>258</v>
      </c>
      <c r="J13" s="137" t="s">
        <v>259</v>
      </c>
      <c r="K13" s="137"/>
      <c r="L13" s="138"/>
      <c r="M13" s="137" t="n">
        <v>60</v>
      </c>
      <c r="N13" s="139" t="n">
        <v>45764</v>
      </c>
      <c r="O13" s="140" t="n">
        <v>180</v>
      </c>
      <c r="P13" s="141" t="n">
        <v>155</v>
      </c>
      <c r="Q13" s="118" t="n">
        <v>7</v>
      </c>
      <c r="R13" s="119" t="n">
        <v>18</v>
      </c>
      <c r="S13" s="119" t="n">
        <v>0</v>
      </c>
      <c r="T13" s="119" t="n">
        <v>0</v>
      </c>
      <c r="U13" s="119" t="n">
        <v>0</v>
      </c>
      <c r="V13" s="119" t="n">
        <v>0</v>
      </c>
      <c r="W13" s="119" t="n">
        <v>0</v>
      </c>
      <c r="X13" s="119" t="n">
        <v>0</v>
      </c>
      <c r="Y13" s="119" t="n">
        <v>0</v>
      </c>
      <c r="Z13" s="119" t="n">
        <v>0</v>
      </c>
      <c r="AA13" s="119" t="n">
        <v>0</v>
      </c>
      <c r="AB13" s="119" t="n">
        <v>0</v>
      </c>
      <c r="AC13" s="119" t="n">
        <v>0</v>
      </c>
      <c r="AD13" s="123" t="n">
        <v>16</v>
      </c>
      <c r="AE13" s="121" t="n">
        <v>8.35862827661732</v>
      </c>
      <c r="AF13" s="142" t="n">
        <v>0.522414267288583</v>
      </c>
      <c r="AG13" s="122" t="n">
        <v>9.6875</v>
      </c>
      <c r="AH13" s="123" t="n">
        <v>290.625</v>
      </c>
    </row>
    <row r="14" customFormat="false" ht="12" hidden="false" customHeight="false" outlineLevel="0" collapsed="false">
      <c r="A14" s="134"/>
      <c r="B14" s="135"/>
      <c r="C14" s="143"/>
      <c r="D14" s="143"/>
      <c r="E14" s="143"/>
      <c r="F14" s="143"/>
      <c r="G14" s="143"/>
      <c r="H14" s="143"/>
      <c r="I14" s="143"/>
      <c r="J14" s="143"/>
      <c r="K14" s="143"/>
      <c r="L14" s="144"/>
      <c r="M14" s="143"/>
      <c r="N14" s="145"/>
      <c r="O14" s="146"/>
      <c r="P14" s="144"/>
      <c r="Q14" s="147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9"/>
      <c r="AE14" s="150"/>
      <c r="AF14" s="151"/>
      <c r="AG14" s="152"/>
      <c r="AH14" s="149"/>
    </row>
    <row r="15" customFormat="false" ht="12" hidden="false" customHeight="false" outlineLevel="0" collapsed="false">
      <c r="A15" s="134"/>
      <c r="B15" s="135"/>
      <c r="C15" s="143"/>
      <c r="D15" s="143"/>
      <c r="E15" s="143"/>
      <c r="F15" s="143"/>
      <c r="G15" s="143"/>
      <c r="H15" s="143"/>
      <c r="I15" s="143"/>
      <c r="J15" s="143"/>
      <c r="K15" s="143"/>
      <c r="L15" s="144"/>
      <c r="M15" s="143"/>
      <c r="N15" s="145"/>
      <c r="O15" s="146"/>
      <c r="P15" s="144"/>
      <c r="Q15" s="147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9"/>
      <c r="AE15" s="150"/>
      <c r="AF15" s="151"/>
      <c r="AG15" s="152"/>
      <c r="AH15" s="149"/>
    </row>
    <row r="16" customFormat="false" ht="12" hidden="false" customHeight="false" outlineLevel="0" collapsed="false">
      <c r="A16" s="134"/>
      <c r="B16" s="135"/>
      <c r="C16" s="143"/>
      <c r="D16" s="143"/>
      <c r="E16" s="143"/>
      <c r="F16" s="143"/>
      <c r="G16" s="143"/>
      <c r="H16" s="143"/>
      <c r="I16" s="143"/>
      <c r="J16" s="143"/>
      <c r="K16" s="143"/>
      <c r="L16" s="144"/>
      <c r="M16" s="143"/>
      <c r="N16" s="145"/>
      <c r="O16" s="146"/>
      <c r="P16" s="144"/>
      <c r="Q16" s="147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9"/>
      <c r="AE16" s="150"/>
      <c r="AF16" s="151"/>
      <c r="AG16" s="152"/>
      <c r="AH16" s="149"/>
    </row>
    <row r="17" customFormat="false" ht="12" hidden="false" customHeight="false" outlineLevel="0" collapsed="false">
      <c r="A17" s="134"/>
      <c r="B17" s="135"/>
      <c r="C17" s="143"/>
      <c r="D17" s="143"/>
      <c r="E17" s="143"/>
      <c r="F17" s="143"/>
      <c r="G17" s="143"/>
      <c r="H17" s="143"/>
      <c r="I17" s="143"/>
      <c r="J17" s="143"/>
      <c r="K17" s="143"/>
      <c r="L17" s="144"/>
      <c r="M17" s="143"/>
      <c r="N17" s="145"/>
      <c r="O17" s="146"/>
      <c r="P17" s="144"/>
      <c r="Q17" s="147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9"/>
      <c r="AE17" s="150"/>
      <c r="AF17" s="151"/>
      <c r="AG17" s="152"/>
      <c r="AH17" s="149"/>
    </row>
    <row r="18" customFormat="false" ht="12" hidden="false" customHeight="false" outlineLevel="0" collapsed="false">
      <c r="A18" s="134"/>
      <c r="B18" s="135"/>
      <c r="C18" s="143"/>
      <c r="D18" s="143"/>
      <c r="E18" s="143"/>
      <c r="F18" s="143"/>
      <c r="G18" s="143"/>
      <c r="H18" s="143"/>
      <c r="I18" s="143"/>
      <c r="J18" s="143"/>
      <c r="K18" s="143"/>
      <c r="L18" s="144"/>
      <c r="M18" s="143"/>
      <c r="N18" s="145"/>
      <c r="O18" s="146"/>
      <c r="P18" s="144"/>
      <c r="Q18" s="147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9"/>
      <c r="AE18" s="150"/>
      <c r="AF18" s="151"/>
      <c r="AG18" s="152"/>
      <c r="AH18" s="149"/>
    </row>
    <row r="19" customFormat="false" ht="12" hidden="false" customHeight="false" outlineLevel="0" collapsed="false">
      <c r="A19" s="134"/>
      <c r="B19" s="135"/>
      <c r="C19" s="143"/>
      <c r="D19" s="143"/>
      <c r="E19" s="143"/>
      <c r="F19" s="143"/>
      <c r="G19" s="143"/>
      <c r="H19" s="143"/>
      <c r="I19" s="143"/>
      <c r="J19" s="143"/>
      <c r="K19" s="143"/>
      <c r="L19" s="144"/>
      <c r="M19" s="143"/>
      <c r="N19" s="145"/>
      <c r="O19" s="146"/>
      <c r="P19" s="144"/>
      <c r="Q19" s="147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9"/>
      <c r="AE19" s="150"/>
      <c r="AF19" s="151"/>
      <c r="AG19" s="152"/>
      <c r="AH19" s="149"/>
    </row>
    <row r="20" customFormat="false" ht="12" hidden="false" customHeight="false" outlineLevel="0" collapsed="false">
      <c r="A20" s="134"/>
      <c r="B20" s="135"/>
      <c r="C20" s="143"/>
      <c r="D20" s="143"/>
      <c r="E20" s="143"/>
      <c r="F20" s="143"/>
      <c r="G20" s="143"/>
      <c r="H20" s="143"/>
      <c r="I20" s="143"/>
      <c r="J20" s="143"/>
      <c r="K20" s="143"/>
      <c r="L20" s="144"/>
      <c r="M20" s="143"/>
      <c r="N20" s="145"/>
      <c r="O20" s="146"/>
      <c r="P20" s="144"/>
      <c r="Q20" s="147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9"/>
      <c r="AE20" s="150"/>
      <c r="AF20" s="151"/>
      <c r="AG20" s="152"/>
      <c r="AH20" s="149"/>
    </row>
    <row r="21" customFormat="false" ht="12" hidden="false" customHeight="false" outlineLevel="0" collapsed="false">
      <c r="A21" s="134"/>
      <c r="B21" s="135"/>
      <c r="C21" s="143"/>
      <c r="D21" s="143"/>
      <c r="E21" s="143"/>
      <c r="F21" s="143"/>
      <c r="G21" s="143"/>
      <c r="H21" s="143"/>
      <c r="I21" s="143"/>
      <c r="J21" s="143"/>
      <c r="K21" s="143"/>
      <c r="L21" s="144"/>
      <c r="M21" s="143"/>
      <c r="N21" s="145"/>
      <c r="O21" s="146"/>
      <c r="P21" s="144"/>
      <c r="Q21" s="147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9"/>
      <c r="AE21" s="150"/>
      <c r="AF21" s="151"/>
      <c r="AG21" s="152"/>
      <c r="AH21" s="149"/>
    </row>
    <row r="22" customFormat="false" ht="12" hidden="false" customHeight="false" outlineLevel="0" collapsed="false">
      <c r="A22" s="134"/>
      <c r="B22" s="135"/>
      <c r="C22" s="143"/>
      <c r="D22" s="143"/>
      <c r="E22" s="143"/>
      <c r="F22" s="143"/>
      <c r="G22" s="143"/>
      <c r="H22" s="143"/>
      <c r="I22" s="143"/>
      <c r="J22" s="143"/>
      <c r="K22" s="143"/>
      <c r="L22" s="144"/>
      <c r="M22" s="143"/>
      <c r="N22" s="145"/>
      <c r="O22" s="146"/>
      <c r="P22" s="144"/>
      <c r="Q22" s="147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9"/>
      <c r="AE22" s="150"/>
      <c r="AF22" s="151"/>
      <c r="AG22" s="152"/>
      <c r="AH22" s="149"/>
    </row>
    <row r="23" customFormat="false" ht="12" hidden="false" customHeight="false" outlineLevel="0" collapsed="false">
      <c r="A23" s="134"/>
      <c r="B23" s="135"/>
      <c r="C23" s="143"/>
      <c r="D23" s="143"/>
      <c r="E23" s="143"/>
      <c r="F23" s="143"/>
      <c r="G23" s="143"/>
      <c r="H23" s="143"/>
      <c r="I23" s="143"/>
      <c r="J23" s="143"/>
      <c r="K23" s="143"/>
      <c r="L23" s="144"/>
      <c r="M23" s="143"/>
      <c r="N23" s="145"/>
      <c r="O23" s="146"/>
      <c r="P23" s="144"/>
      <c r="Q23" s="147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9"/>
      <c r="AE23" s="150"/>
      <c r="AF23" s="151"/>
      <c r="AG23" s="152"/>
      <c r="AH23" s="149"/>
    </row>
    <row r="24" customFormat="false" ht="12" hidden="false" customHeight="false" outlineLevel="0" collapsed="false">
      <c r="A24" s="134"/>
      <c r="B24" s="135"/>
      <c r="C24" s="143"/>
      <c r="D24" s="143"/>
      <c r="E24" s="143"/>
      <c r="F24" s="143"/>
      <c r="G24" s="143"/>
      <c r="H24" s="143"/>
      <c r="I24" s="143"/>
      <c r="J24" s="143"/>
      <c r="K24" s="143"/>
      <c r="L24" s="144"/>
      <c r="M24" s="143"/>
      <c r="N24" s="145"/>
      <c r="O24" s="146"/>
      <c r="P24" s="144"/>
      <c r="Q24" s="147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9"/>
      <c r="AE24" s="150"/>
      <c r="AF24" s="151"/>
      <c r="AG24" s="152"/>
      <c r="AH24" s="149"/>
    </row>
    <row r="25" customFormat="false" ht="12" hidden="false" customHeight="false" outlineLevel="0" collapsed="false">
      <c r="A25" s="134"/>
      <c r="B25" s="135"/>
      <c r="C25" s="143"/>
      <c r="D25" s="143"/>
      <c r="E25" s="143"/>
      <c r="F25" s="143"/>
      <c r="G25" s="143"/>
      <c r="H25" s="143"/>
      <c r="I25" s="143"/>
      <c r="J25" s="143"/>
      <c r="K25" s="143"/>
      <c r="L25" s="144"/>
      <c r="M25" s="143"/>
      <c r="N25" s="145"/>
      <c r="O25" s="146"/>
      <c r="P25" s="144"/>
      <c r="Q25" s="147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9"/>
      <c r="AE25" s="150"/>
      <c r="AF25" s="151"/>
      <c r="AG25" s="152"/>
      <c r="AH25" s="149"/>
    </row>
    <row r="26" customFormat="false" ht="12" hidden="false" customHeight="false" outlineLevel="0" collapsed="false">
      <c r="A26" s="134"/>
      <c r="B26" s="135"/>
      <c r="C26" s="143"/>
      <c r="D26" s="143"/>
      <c r="E26" s="143"/>
      <c r="F26" s="143"/>
      <c r="G26" s="143"/>
      <c r="H26" s="143"/>
      <c r="I26" s="143"/>
      <c r="J26" s="143"/>
      <c r="K26" s="143"/>
      <c r="L26" s="144"/>
      <c r="M26" s="143"/>
      <c r="N26" s="145"/>
      <c r="O26" s="146"/>
      <c r="P26" s="144"/>
      <c r="Q26" s="147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9"/>
      <c r="AE26" s="150"/>
      <c r="AF26" s="151"/>
      <c r="AG26" s="152"/>
      <c r="AH26" s="149"/>
    </row>
    <row r="27" customFormat="false" ht="12" hidden="false" customHeight="false" outlineLevel="0" collapsed="false">
      <c r="A27" s="134"/>
      <c r="B27" s="135"/>
      <c r="C27" s="143"/>
      <c r="D27" s="143"/>
      <c r="E27" s="143"/>
      <c r="F27" s="143"/>
      <c r="G27" s="143"/>
      <c r="H27" s="143"/>
      <c r="I27" s="143"/>
      <c r="J27" s="143"/>
      <c r="K27" s="143"/>
      <c r="L27" s="144"/>
      <c r="M27" s="143"/>
      <c r="N27" s="145"/>
      <c r="O27" s="146"/>
      <c r="P27" s="144"/>
      <c r="Q27" s="147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9"/>
      <c r="AE27" s="150"/>
      <c r="AF27" s="151"/>
      <c r="AG27" s="152"/>
      <c r="AH27" s="149"/>
    </row>
    <row r="28" customFormat="false" ht="12" hidden="false" customHeight="false" outlineLevel="0" collapsed="false">
      <c r="A28" s="134"/>
      <c r="B28" s="135"/>
      <c r="C28" s="143"/>
      <c r="D28" s="143"/>
      <c r="E28" s="143"/>
      <c r="F28" s="143"/>
      <c r="G28" s="143"/>
      <c r="H28" s="143"/>
      <c r="I28" s="143"/>
      <c r="J28" s="143"/>
      <c r="K28" s="143"/>
      <c r="L28" s="144"/>
      <c r="M28" s="143"/>
      <c r="N28" s="145"/>
      <c r="O28" s="146"/>
      <c r="P28" s="144"/>
      <c r="Q28" s="147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9"/>
      <c r="AE28" s="150"/>
      <c r="AF28" s="151"/>
      <c r="AG28" s="152"/>
      <c r="AH28" s="149"/>
    </row>
    <row r="29" customFormat="false" ht="12" hidden="false" customHeight="false" outlineLevel="0" collapsed="false">
      <c r="A29" s="134"/>
      <c r="B29" s="135"/>
      <c r="C29" s="143"/>
      <c r="D29" s="143"/>
      <c r="E29" s="143"/>
      <c r="F29" s="143"/>
      <c r="G29" s="143"/>
      <c r="H29" s="143"/>
      <c r="I29" s="143"/>
      <c r="J29" s="143"/>
      <c r="K29" s="143"/>
      <c r="L29" s="144"/>
      <c r="M29" s="143"/>
      <c r="N29" s="145"/>
      <c r="O29" s="146"/>
      <c r="P29" s="144"/>
      <c r="Q29" s="147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9"/>
      <c r="AE29" s="150"/>
      <c r="AF29" s="151"/>
      <c r="AG29" s="152"/>
      <c r="AH29" s="149"/>
    </row>
    <row r="30" customFormat="false" ht="12" hidden="false" customHeight="false" outlineLevel="0" collapsed="false">
      <c r="A30" s="134"/>
      <c r="B30" s="135"/>
      <c r="C30" s="143"/>
      <c r="D30" s="143"/>
      <c r="E30" s="143"/>
      <c r="F30" s="143"/>
      <c r="G30" s="143"/>
      <c r="H30" s="143"/>
      <c r="I30" s="143"/>
      <c r="J30" s="143"/>
      <c r="K30" s="143"/>
      <c r="L30" s="144"/>
      <c r="M30" s="143"/>
      <c r="N30" s="145"/>
      <c r="O30" s="146"/>
      <c r="P30" s="144"/>
      <c r="Q30" s="147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9"/>
      <c r="AE30" s="150"/>
      <c r="AF30" s="151"/>
      <c r="AG30" s="152"/>
      <c r="AH30" s="149"/>
    </row>
    <row r="31" customFormat="false" ht="12" hidden="false" customHeight="false" outlineLevel="0" collapsed="false">
      <c r="A31" s="134"/>
      <c r="B31" s="135"/>
      <c r="C31" s="143"/>
      <c r="D31" s="143"/>
      <c r="E31" s="143"/>
      <c r="F31" s="143"/>
      <c r="G31" s="143"/>
      <c r="H31" s="143"/>
      <c r="I31" s="143"/>
      <c r="J31" s="143"/>
      <c r="K31" s="143"/>
      <c r="L31" s="144"/>
      <c r="M31" s="143"/>
      <c r="N31" s="145"/>
      <c r="O31" s="146"/>
      <c r="P31" s="144"/>
      <c r="Q31" s="147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9"/>
      <c r="AE31" s="150"/>
      <c r="AF31" s="151"/>
      <c r="AG31" s="152"/>
      <c r="AH31" s="149"/>
    </row>
    <row r="32" customFormat="false" ht="12" hidden="false" customHeight="false" outlineLevel="0" collapsed="false">
      <c r="A32" s="134"/>
      <c r="B32" s="135"/>
      <c r="C32" s="143"/>
      <c r="D32" s="143"/>
      <c r="E32" s="143"/>
      <c r="F32" s="143"/>
      <c r="G32" s="143"/>
      <c r="H32" s="143"/>
      <c r="I32" s="143"/>
      <c r="J32" s="143"/>
      <c r="K32" s="143"/>
      <c r="L32" s="144"/>
      <c r="M32" s="143"/>
      <c r="N32" s="145"/>
      <c r="O32" s="146"/>
      <c r="P32" s="144"/>
      <c r="Q32" s="147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9"/>
      <c r="AE32" s="150"/>
      <c r="AF32" s="151"/>
      <c r="AG32" s="152"/>
      <c r="AH32" s="149"/>
    </row>
    <row r="33" customFormat="false" ht="12" hidden="false" customHeight="false" outlineLevel="0" collapsed="false">
      <c r="A33" s="134"/>
      <c r="B33" s="135"/>
      <c r="C33" s="143"/>
      <c r="D33" s="143"/>
      <c r="E33" s="143"/>
      <c r="F33" s="143"/>
      <c r="G33" s="143"/>
      <c r="H33" s="143"/>
      <c r="I33" s="143"/>
      <c r="J33" s="143"/>
      <c r="K33" s="143"/>
      <c r="L33" s="144"/>
      <c r="M33" s="143"/>
      <c r="N33" s="145"/>
      <c r="O33" s="146"/>
      <c r="P33" s="144"/>
      <c r="Q33" s="147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9"/>
      <c r="AE33" s="150"/>
      <c r="AF33" s="151"/>
      <c r="AG33" s="152"/>
      <c r="AH33" s="149"/>
    </row>
    <row r="34" customFormat="false" ht="12" hidden="false" customHeight="false" outlineLevel="0" collapsed="false">
      <c r="A34" s="134"/>
      <c r="B34" s="135"/>
      <c r="C34" s="143"/>
      <c r="D34" s="143"/>
      <c r="E34" s="143"/>
      <c r="F34" s="143"/>
      <c r="G34" s="143"/>
      <c r="H34" s="143"/>
      <c r="I34" s="143"/>
      <c r="J34" s="143"/>
      <c r="K34" s="143"/>
      <c r="L34" s="144"/>
      <c r="M34" s="143"/>
      <c r="N34" s="145"/>
      <c r="O34" s="146"/>
      <c r="P34" s="144"/>
      <c r="Q34" s="147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9"/>
      <c r="AE34" s="150"/>
      <c r="AF34" s="151"/>
      <c r="AG34" s="152"/>
      <c r="AH34" s="149"/>
    </row>
    <row r="35" customFormat="false" ht="12" hidden="false" customHeight="false" outlineLevel="0" collapsed="false">
      <c r="A35" s="134"/>
      <c r="B35" s="135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143"/>
      <c r="N35" s="145"/>
      <c r="O35" s="146"/>
      <c r="P35" s="144"/>
      <c r="Q35" s="147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9"/>
      <c r="AE35" s="150"/>
      <c r="AF35" s="151"/>
      <c r="AG35" s="152"/>
      <c r="AH35" s="149"/>
    </row>
    <row r="36" customFormat="false" ht="12" hidden="false" customHeight="false" outlineLevel="0" collapsed="false">
      <c r="A36" s="134"/>
      <c r="B36" s="135"/>
      <c r="C36" s="143"/>
      <c r="D36" s="143"/>
      <c r="E36" s="143"/>
      <c r="F36" s="143"/>
      <c r="G36" s="143"/>
      <c r="H36" s="143"/>
      <c r="I36" s="143"/>
      <c r="J36" s="143"/>
      <c r="K36" s="143"/>
      <c r="L36" s="144"/>
      <c r="M36" s="143"/>
      <c r="N36" s="145"/>
      <c r="O36" s="146"/>
      <c r="P36" s="144"/>
      <c r="Q36" s="147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9"/>
      <c r="AE36" s="150"/>
      <c r="AF36" s="151"/>
      <c r="AG36" s="152"/>
      <c r="AH36" s="149"/>
    </row>
    <row r="37" customFormat="false" ht="12" hidden="false" customHeight="false" outlineLevel="0" collapsed="false">
      <c r="A37" s="134"/>
      <c r="B37" s="135"/>
      <c r="C37" s="143"/>
      <c r="D37" s="143"/>
      <c r="E37" s="143"/>
      <c r="F37" s="143"/>
      <c r="G37" s="143"/>
      <c r="H37" s="143"/>
      <c r="I37" s="143"/>
      <c r="J37" s="143"/>
      <c r="K37" s="143"/>
      <c r="L37" s="144"/>
      <c r="M37" s="143"/>
      <c r="N37" s="145"/>
      <c r="O37" s="146"/>
      <c r="P37" s="144"/>
      <c r="Q37" s="147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9"/>
      <c r="AE37" s="150"/>
      <c r="AF37" s="151"/>
      <c r="AG37" s="152"/>
      <c r="AH37" s="149"/>
    </row>
    <row r="38" customFormat="false" ht="12" hidden="false" customHeight="false" outlineLevel="0" collapsed="false">
      <c r="A38" s="134"/>
      <c r="B38" s="135"/>
      <c r="C38" s="143"/>
      <c r="D38" s="143"/>
      <c r="E38" s="143"/>
      <c r="F38" s="143"/>
      <c r="G38" s="143"/>
      <c r="H38" s="143"/>
      <c r="I38" s="143"/>
      <c r="J38" s="143"/>
      <c r="K38" s="143"/>
      <c r="L38" s="144"/>
      <c r="M38" s="143"/>
      <c r="N38" s="145"/>
      <c r="O38" s="146"/>
      <c r="P38" s="144"/>
      <c r="Q38" s="147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9"/>
      <c r="AE38" s="150"/>
      <c r="AF38" s="151"/>
      <c r="AG38" s="152"/>
      <c r="AH38" s="149"/>
    </row>
    <row r="39" customFormat="false" ht="12" hidden="false" customHeight="false" outlineLevel="0" collapsed="false">
      <c r="A39" s="134"/>
      <c r="B39" s="135"/>
      <c r="C39" s="143"/>
      <c r="D39" s="143"/>
      <c r="E39" s="143"/>
      <c r="F39" s="143"/>
      <c r="G39" s="143"/>
      <c r="H39" s="143"/>
      <c r="I39" s="143"/>
      <c r="J39" s="143"/>
      <c r="K39" s="143"/>
      <c r="L39" s="144"/>
      <c r="M39" s="143"/>
      <c r="N39" s="145"/>
      <c r="O39" s="146"/>
      <c r="P39" s="144"/>
      <c r="Q39" s="147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9"/>
      <c r="AE39" s="150"/>
      <c r="AF39" s="151"/>
      <c r="AG39" s="152"/>
      <c r="AH39" s="149"/>
    </row>
    <row r="40" customFormat="false" ht="12" hidden="false" customHeight="false" outlineLevel="0" collapsed="false">
      <c r="A40" s="134"/>
      <c r="B40" s="135"/>
      <c r="C40" s="143"/>
      <c r="D40" s="143"/>
      <c r="E40" s="143"/>
      <c r="F40" s="143"/>
      <c r="G40" s="143"/>
      <c r="H40" s="143"/>
      <c r="I40" s="143"/>
      <c r="J40" s="143"/>
      <c r="K40" s="143"/>
      <c r="L40" s="144"/>
      <c r="M40" s="143"/>
      <c r="N40" s="145"/>
      <c r="O40" s="146"/>
      <c r="P40" s="144"/>
      <c r="Q40" s="147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9"/>
      <c r="AE40" s="150"/>
      <c r="AF40" s="151"/>
      <c r="AG40" s="152"/>
      <c r="AH40" s="149"/>
    </row>
    <row r="41" customFormat="false" ht="12" hidden="false" customHeight="false" outlineLevel="0" collapsed="false">
      <c r="A41" s="134"/>
      <c r="B41" s="135"/>
      <c r="C41" s="143"/>
      <c r="D41" s="143"/>
      <c r="E41" s="143"/>
      <c r="F41" s="143"/>
      <c r="G41" s="143"/>
      <c r="H41" s="143"/>
      <c r="I41" s="143"/>
      <c r="J41" s="143"/>
      <c r="K41" s="143"/>
      <c r="L41" s="144"/>
      <c r="M41" s="143"/>
      <c r="N41" s="145"/>
      <c r="O41" s="146"/>
      <c r="P41" s="144"/>
      <c r="Q41" s="147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9"/>
      <c r="AE41" s="150"/>
      <c r="AF41" s="151"/>
      <c r="AG41" s="152"/>
      <c r="AH41" s="149"/>
    </row>
    <row r="42" customFormat="false" ht="12" hidden="false" customHeight="false" outlineLevel="0" collapsed="false">
      <c r="A42" s="134"/>
      <c r="B42" s="135"/>
      <c r="C42" s="143"/>
      <c r="D42" s="143"/>
      <c r="E42" s="143"/>
      <c r="F42" s="143"/>
      <c r="G42" s="143"/>
      <c r="H42" s="143"/>
      <c r="I42" s="143"/>
      <c r="J42" s="143"/>
      <c r="K42" s="143"/>
      <c r="L42" s="144"/>
      <c r="M42" s="143"/>
      <c r="N42" s="145"/>
      <c r="O42" s="146"/>
      <c r="P42" s="144"/>
      <c r="Q42" s="147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9"/>
      <c r="AE42" s="150"/>
      <c r="AF42" s="151"/>
      <c r="AG42" s="152"/>
      <c r="AH42" s="149"/>
    </row>
    <row r="43" customFormat="false" ht="12" hidden="false" customHeight="false" outlineLevel="0" collapsed="false">
      <c r="A43" s="134"/>
      <c r="B43" s="135"/>
      <c r="C43" s="143"/>
      <c r="D43" s="143"/>
      <c r="E43" s="143"/>
      <c r="F43" s="143"/>
      <c r="G43" s="143"/>
      <c r="H43" s="143"/>
      <c r="I43" s="143"/>
      <c r="J43" s="143"/>
      <c r="K43" s="143"/>
      <c r="L43" s="144"/>
      <c r="M43" s="143"/>
      <c r="N43" s="145"/>
      <c r="O43" s="146"/>
      <c r="P43" s="144"/>
      <c r="Q43" s="147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9"/>
      <c r="AE43" s="150"/>
      <c r="AF43" s="151"/>
      <c r="AG43" s="152"/>
      <c r="AH43" s="149"/>
    </row>
    <row r="44" customFormat="false" ht="12" hidden="false" customHeight="false" outlineLevel="0" collapsed="false">
      <c r="A44" s="134"/>
      <c r="B44" s="135"/>
      <c r="C44" s="143"/>
      <c r="D44" s="143"/>
      <c r="E44" s="143"/>
      <c r="F44" s="143"/>
      <c r="G44" s="143"/>
      <c r="H44" s="143"/>
      <c r="I44" s="143"/>
      <c r="J44" s="143"/>
      <c r="K44" s="143"/>
      <c r="L44" s="144"/>
      <c r="M44" s="143"/>
      <c r="N44" s="145"/>
      <c r="O44" s="146"/>
      <c r="P44" s="144"/>
      <c r="Q44" s="147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9"/>
      <c r="AE44" s="150"/>
      <c r="AF44" s="151"/>
      <c r="AG44" s="152"/>
      <c r="AH44" s="149"/>
    </row>
    <row r="45" customFormat="false" ht="12" hidden="false" customHeight="false" outlineLevel="0" collapsed="false">
      <c r="A45" s="134"/>
      <c r="B45" s="135"/>
      <c r="C45" s="143"/>
      <c r="D45" s="143"/>
      <c r="E45" s="143"/>
      <c r="F45" s="143"/>
      <c r="G45" s="143"/>
      <c r="H45" s="143"/>
      <c r="I45" s="143"/>
      <c r="J45" s="143"/>
      <c r="K45" s="143"/>
      <c r="L45" s="144"/>
      <c r="M45" s="143"/>
      <c r="N45" s="145"/>
      <c r="O45" s="146"/>
      <c r="P45" s="144"/>
      <c r="Q45" s="147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9"/>
      <c r="AE45" s="150"/>
      <c r="AF45" s="151"/>
      <c r="AG45" s="152"/>
      <c r="AH45" s="149"/>
    </row>
    <row r="46" customFormat="false" ht="12" hidden="false" customHeight="false" outlineLevel="0" collapsed="false">
      <c r="A46" s="134"/>
      <c r="B46" s="135"/>
      <c r="C46" s="143"/>
      <c r="D46" s="143"/>
      <c r="E46" s="143"/>
      <c r="F46" s="143"/>
      <c r="G46" s="143"/>
      <c r="H46" s="143"/>
      <c r="I46" s="143"/>
      <c r="J46" s="143"/>
      <c r="K46" s="143"/>
      <c r="L46" s="144"/>
      <c r="M46" s="143"/>
      <c r="N46" s="145"/>
      <c r="O46" s="146"/>
      <c r="P46" s="144"/>
      <c r="Q46" s="147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9"/>
      <c r="AE46" s="150"/>
      <c r="AF46" s="151"/>
      <c r="AG46" s="152"/>
      <c r="AH46" s="149"/>
    </row>
    <row r="47" customFormat="false" ht="12" hidden="false" customHeight="false" outlineLevel="0" collapsed="false">
      <c r="A47" s="134"/>
      <c r="B47" s="135"/>
      <c r="C47" s="143"/>
      <c r="D47" s="143"/>
      <c r="E47" s="143"/>
      <c r="F47" s="143"/>
      <c r="G47" s="143"/>
      <c r="H47" s="143"/>
      <c r="I47" s="143"/>
      <c r="J47" s="143"/>
      <c r="K47" s="143"/>
      <c r="L47" s="144"/>
      <c r="M47" s="143"/>
      <c r="N47" s="145"/>
      <c r="O47" s="146"/>
      <c r="P47" s="144"/>
      <c r="Q47" s="147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9"/>
      <c r="AE47" s="150"/>
      <c r="AF47" s="151"/>
      <c r="AG47" s="152"/>
      <c r="AH47" s="149"/>
    </row>
    <row r="48" customFormat="false" ht="12" hidden="false" customHeight="false" outlineLevel="0" collapsed="false">
      <c r="A48" s="134"/>
      <c r="B48" s="135"/>
      <c r="C48" s="143"/>
      <c r="D48" s="143"/>
      <c r="E48" s="143"/>
      <c r="F48" s="143"/>
      <c r="G48" s="143"/>
      <c r="H48" s="143"/>
      <c r="I48" s="143"/>
      <c r="J48" s="143"/>
      <c r="K48" s="143"/>
      <c r="L48" s="144"/>
      <c r="M48" s="143"/>
      <c r="N48" s="145"/>
      <c r="O48" s="146"/>
      <c r="P48" s="144"/>
      <c r="Q48" s="147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9"/>
      <c r="AE48" s="150"/>
      <c r="AF48" s="151"/>
      <c r="AG48" s="152"/>
      <c r="AH48" s="149"/>
    </row>
    <row r="49" customFormat="false" ht="12" hidden="false" customHeight="false" outlineLevel="0" collapsed="false">
      <c r="A49" s="134"/>
      <c r="B49" s="135"/>
      <c r="C49" s="143"/>
      <c r="D49" s="143"/>
      <c r="E49" s="143"/>
      <c r="F49" s="143"/>
      <c r="G49" s="143"/>
      <c r="H49" s="143"/>
      <c r="I49" s="143"/>
      <c r="J49" s="143"/>
      <c r="K49" s="143"/>
      <c r="L49" s="144"/>
      <c r="M49" s="143"/>
      <c r="N49" s="145"/>
      <c r="O49" s="146"/>
      <c r="P49" s="144"/>
      <c r="Q49" s="147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9"/>
      <c r="AE49" s="150"/>
      <c r="AF49" s="151"/>
      <c r="AG49" s="152"/>
      <c r="AH49" s="149"/>
    </row>
    <row r="50" customFormat="false" ht="12" hidden="false" customHeight="false" outlineLevel="0" collapsed="false">
      <c r="A50" s="134"/>
      <c r="B50" s="135"/>
      <c r="C50" s="143"/>
      <c r="D50" s="143"/>
      <c r="E50" s="143"/>
      <c r="F50" s="143"/>
      <c r="G50" s="143"/>
      <c r="H50" s="143"/>
      <c r="I50" s="143"/>
      <c r="J50" s="143"/>
      <c r="K50" s="143"/>
      <c r="L50" s="144"/>
      <c r="M50" s="143"/>
      <c r="N50" s="145"/>
      <c r="O50" s="146"/>
      <c r="P50" s="144"/>
      <c r="Q50" s="147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9"/>
      <c r="AE50" s="150"/>
      <c r="AF50" s="151"/>
      <c r="AG50" s="152"/>
      <c r="AH50" s="149"/>
    </row>
    <row r="51" customFormat="false" ht="12" hidden="false" customHeight="false" outlineLevel="0" collapsed="false">
      <c r="A51" s="134"/>
      <c r="B51" s="135"/>
      <c r="C51" s="143"/>
      <c r="D51" s="143"/>
      <c r="E51" s="143"/>
      <c r="F51" s="143"/>
      <c r="G51" s="143"/>
      <c r="H51" s="143"/>
      <c r="I51" s="143"/>
      <c r="J51" s="143"/>
      <c r="K51" s="143"/>
      <c r="L51" s="144"/>
      <c r="M51" s="143"/>
      <c r="N51" s="145"/>
      <c r="O51" s="146"/>
      <c r="P51" s="144"/>
      <c r="Q51" s="147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9"/>
      <c r="AE51" s="150"/>
      <c r="AF51" s="151"/>
      <c r="AG51" s="152"/>
      <c r="AH51" s="149"/>
    </row>
    <row r="52" customFormat="false" ht="12" hidden="false" customHeight="false" outlineLevel="0" collapsed="false">
      <c r="A52" s="134"/>
      <c r="B52" s="135"/>
      <c r="C52" s="143"/>
      <c r="D52" s="143"/>
      <c r="E52" s="143"/>
      <c r="F52" s="143"/>
      <c r="G52" s="143"/>
      <c r="H52" s="143"/>
      <c r="I52" s="143"/>
      <c r="J52" s="143"/>
      <c r="K52" s="143"/>
      <c r="L52" s="144"/>
      <c r="M52" s="143"/>
      <c r="N52" s="145"/>
      <c r="O52" s="146"/>
      <c r="P52" s="144"/>
      <c r="Q52" s="147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9"/>
      <c r="AE52" s="150"/>
      <c r="AF52" s="151"/>
      <c r="AG52" s="152"/>
      <c r="AH52" s="149"/>
    </row>
    <row r="53" customFormat="false" ht="12" hidden="false" customHeight="false" outlineLevel="0" collapsed="false">
      <c r="A53" s="134"/>
      <c r="B53" s="135"/>
      <c r="C53" s="143"/>
      <c r="D53" s="143"/>
      <c r="E53" s="143"/>
      <c r="F53" s="143"/>
      <c r="G53" s="143"/>
      <c r="H53" s="143"/>
      <c r="I53" s="143"/>
      <c r="J53" s="143"/>
      <c r="K53" s="143"/>
      <c r="L53" s="144"/>
      <c r="M53" s="143"/>
      <c r="N53" s="145"/>
      <c r="O53" s="146"/>
      <c r="P53" s="144"/>
      <c r="Q53" s="147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9"/>
      <c r="AE53" s="150"/>
      <c r="AF53" s="151"/>
      <c r="AG53" s="152"/>
      <c r="AH53" s="149"/>
    </row>
    <row r="54" customFormat="false" ht="12" hidden="false" customHeight="false" outlineLevel="0" collapsed="false">
      <c r="A54" s="134"/>
      <c r="B54" s="135"/>
      <c r="C54" s="143"/>
      <c r="D54" s="143"/>
      <c r="E54" s="143"/>
      <c r="F54" s="143"/>
      <c r="G54" s="143"/>
      <c r="H54" s="143"/>
      <c r="I54" s="143"/>
      <c r="J54" s="143"/>
      <c r="K54" s="143"/>
      <c r="L54" s="144"/>
      <c r="M54" s="143"/>
      <c r="N54" s="145"/>
      <c r="O54" s="146"/>
      <c r="P54" s="144"/>
      <c r="Q54" s="147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9"/>
      <c r="AE54" s="150"/>
      <c r="AF54" s="151"/>
      <c r="AG54" s="152"/>
      <c r="AH54" s="149"/>
    </row>
    <row r="55" customFormat="false" ht="12" hidden="false" customHeight="false" outlineLevel="0" collapsed="false">
      <c r="A55" s="134"/>
      <c r="B55" s="135"/>
      <c r="C55" s="143"/>
      <c r="D55" s="143"/>
      <c r="E55" s="143"/>
      <c r="F55" s="143"/>
      <c r="G55" s="143"/>
      <c r="H55" s="143"/>
      <c r="I55" s="143"/>
      <c r="J55" s="143"/>
      <c r="K55" s="143"/>
      <c r="L55" s="144"/>
      <c r="M55" s="143"/>
      <c r="N55" s="145"/>
      <c r="O55" s="146"/>
      <c r="P55" s="144"/>
      <c r="Q55" s="147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9"/>
      <c r="AE55" s="150"/>
      <c r="AF55" s="151"/>
      <c r="AG55" s="152"/>
      <c r="AH55" s="149"/>
    </row>
    <row r="56" customFormat="false" ht="12" hidden="false" customHeight="false" outlineLevel="0" collapsed="false">
      <c r="A56" s="134"/>
      <c r="B56" s="135"/>
      <c r="C56" s="143"/>
      <c r="D56" s="143"/>
      <c r="E56" s="143"/>
      <c r="F56" s="143"/>
      <c r="G56" s="143"/>
      <c r="H56" s="143"/>
      <c r="I56" s="143"/>
      <c r="J56" s="143"/>
      <c r="K56" s="143"/>
      <c r="L56" s="144"/>
      <c r="M56" s="143"/>
      <c r="N56" s="145"/>
      <c r="O56" s="146"/>
      <c r="P56" s="144"/>
      <c r="Q56" s="147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9"/>
      <c r="AE56" s="150"/>
      <c r="AF56" s="151"/>
      <c r="AG56" s="152"/>
      <c r="AH56" s="149"/>
    </row>
    <row r="57" customFormat="false" ht="12" hidden="false" customHeight="false" outlineLevel="0" collapsed="false">
      <c r="A57" s="134"/>
      <c r="B57" s="135"/>
      <c r="C57" s="143"/>
      <c r="D57" s="143"/>
      <c r="E57" s="143"/>
      <c r="F57" s="143"/>
      <c r="G57" s="143"/>
      <c r="H57" s="143"/>
      <c r="I57" s="143"/>
      <c r="J57" s="143"/>
      <c r="K57" s="143"/>
      <c r="L57" s="144"/>
      <c r="M57" s="143"/>
      <c r="N57" s="145"/>
      <c r="O57" s="146"/>
      <c r="P57" s="144"/>
      <c r="Q57" s="147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9"/>
      <c r="AE57" s="150"/>
      <c r="AF57" s="151"/>
      <c r="AG57" s="152"/>
      <c r="AH57" s="149"/>
    </row>
    <row r="58" customFormat="false" ht="12" hidden="false" customHeight="false" outlineLevel="0" collapsed="false">
      <c r="A58" s="134"/>
      <c r="B58" s="135"/>
      <c r="C58" s="143"/>
      <c r="D58" s="143"/>
      <c r="E58" s="143"/>
      <c r="F58" s="143"/>
      <c r="G58" s="143"/>
      <c r="H58" s="143"/>
      <c r="I58" s="143"/>
      <c r="J58" s="143"/>
      <c r="K58" s="143"/>
      <c r="L58" s="144"/>
      <c r="M58" s="143"/>
      <c r="N58" s="145"/>
      <c r="O58" s="146"/>
      <c r="P58" s="144"/>
      <c r="Q58" s="147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9"/>
      <c r="AE58" s="150"/>
      <c r="AF58" s="151"/>
      <c r="AG58" s="152"/>
      <c r="AH58" s="149"/>
    </row>
    <row r="59" customFormat="false" ht="12" hidden="false" customHeight="false" outlineLevel="0" collapsed="false">
      <c r="A59" s="134"/>
      <c r="B59" s="135"/>
      <c r="C59" s="143"/>
      <c r="D59" s="143"/>
      <c r="E59" s="143"/>
      <c r="F59" s="143"/>
      <c r="G59" s="143"/>
      <c r="H59" s="143"/>
      <c r="I59" s="143"/>
      <c r="J59" s="143"/>
      <c r="K59" s="143"/>
      <c r="L59" s="144"/>
      <c r="M59" s="143"/>
      <c r="N59" s="145"/>
      <c r="O59" s="146"/>
      <c r="P59" s="144"/>
      <c r="Q59" s="147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9"/>
      <c r="AE59" s="150"/>
      <c r="AF59" s="151"/>
      <c r="AG59" s="152"/>
      <c r="AH59" s="149"/>
    </row>
    <row r="60" customFormat="false" ht="12" hidden="false" customHeight="false" outlineLevel="0" collapsed="false">
      <c r="A60" s="134"/>
      <c r="B60" s="135"/>
      <c r="C60" s="143"/>
      <c r="D60" s="143"/>
      <c r="E60" s="143"/>
      <c r="F60" s="143"/>
      <c r="G60" s="143"/>
      <c r="H60" s="143"/>
      <c r="I60" s="143"/>
      <c r="J60" s="143"/>
      <c r="K60" s="143"/>
      <c r="L60" s="144"/>
      <c r="M60" s="143"/>
      <c r="N60" s="145"/>
      <c r="O60" s="146"/>
      <c r="P60" s="144"/>
      <c r="Q60" s="147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49"/>
      <c r="AE60" s="150"/>
      <c r="AF60" s="151"/>
      <c r="AG60" s="152"/>
      <c r="AH60" s="149"/>
    </row>
    <row r="61" customFormat="false" ht="12" hidden="false" customHeight="false" outlineLevel="0" collapsed="false">
      <c r="A61" s="134"/>
      <c r="B61" s="135"/>
      <c r="C61" s="143"/>
      <c r="D61" s="143"/>
      <c r="E61" s="143"/>
      <c r="F61" s="143"/>
      <c r="G61" s="143"/>
      <c r="H61" s="143"/>
      <c r="I61" s="143"/>
      <c r="J61" s="143"/>
      <c r="K61" s="143"/>
      <c r="L61" s="144"/>
      <c r="M61" s="143"/>
      <c r="N61" s="145"/>
      <c r="O61" s="146"/>
      <c r="P61" s="144"/>
      <c r="Q61" s="147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9"/>
      <c r="AE61" s="150"/>
      <c r="AF61" s="151"/>
      <c r="AG61" s="152"/>
      <c r="AH61" s="149"/>
    </row>
    <row r="62" customFormat="false" ht="12" hidden="false" customHeight="false" outlineLevel="0" collapsed="false">
      <c r="A62" s="134"/>
      <c r="B62" s="135"/>
      <c r="C62" s="143"/>
      <c r="D62" s="143"/>
      <c r="E62" s="143"/>
      <c r="F62" s="143"/>
      <c r="G62" s="143"/>
      <c r="H62" s="143"/>
      <c r="I62" s="143"/>
      <c r="J62" s="143"/>
      <c r="K62" s="143"/>
      <c r="L62" s="144"/>
      <c r="M62" s="143"/>
      <c r="N62" s="145"/>
      <c r="O62" s="146"/>
      <c r="P62" s="144"/>
      <c r="Q62" s="147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9"/>
      <c r="AE62" s="150"/>
      <c r="AF62" s="151"/>
      <c r="AG62" s="152"/>
      <c r="AH62" s="149"/>
    </row>
    <row r="63" customFormat="false" ht="12" hidden="false" customHeight="false" outlineLevel="0" collapsed="false">
      <c r="A63" s="134"/>
      <c r="B63" s="135"/>
      <c r="C63" s="143"/>
      <c r="D63" s="143"/>
      <c r="E63" s="143"/>
      <c r="F63" s="143"/>
      <c r="G63" s="143"/>
      <c r="H63" s="143"/>
      <c r="I63" s="143"/>
      <c r="J63" s="143"/>
      <c r="K63" s="143"/>
      <c r="L63" s="144"/>
      <c r="M63" s="143"/>
      <c r="N63" s="145"/>
      <c r="O63" s="146"/>
      <c r="P63" s="144"/>
      <c r="Q63" s="147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9"/>
      <c r="AE63" s="150"/>
      <c r="AF63" s="151"/>
      <c r="AG63" s="152"/>
      <c r="AH63" s="149"/>
    </row>
    <row r="64" customFormat="false" ht="12" hidden="false" customHeight="false" outlineLevel="0" collapsed="false">
      <c r="A64" s="134"/>
      <c r="B64" s="135"/>
      <c r="C64" s="143"/>
      <c r="D64" s="143"/>
      <c r="E64" s="143"/>
      <c r="F64" s="143"/>
      <c r="G64" s="143"/>
      <c r="H64" s="143"/>
      <c r="I64" s="143"/>
      <c r="J64" s="143"/>
      <c r="K64" s="143"/>
      <c r="L64" s="144"/>
      <c r="M64" s="143"/>
      <c r="N64" s="145"/>
      <c r="O64" s="146"/>
      <c r="P64" s="144"/>
      <c r="Q64" s="147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9"/>
      <c r="AE64" s="150"/>
      <c r="AF64" s="151"/>
      <c r="AG64" s="152"/>
      <c r="AH64" s="149"/>
    </row>
    <row r="65" customFormat="false" ht="12" hidden="false" customHeight="false" outlineLevel="0" collapsed="false">
      <c r="A65" s="134"/>
      <c r="B65" s="135"/>
      <c r="C65" s="143"/>
      <c r="D65" s="143"/>
      <c r="E65" s="143"/>
      <c r="F65" s="143"/>
      <c r="G65" s="143"/>
      <c r="H65" s="143"/>
      <c r="I65" s="143"/>
      <c r="J65" s="143"/>
      <c r="K65" s="143"/>
      <c r="L65" s="144"/>
      <c r="M65" s="143"/>
      <c r="N65" s="145"/>
      <c r="O65" s="146"/>
      <c r="P65" s="144"/>
      <c r="Q65" s="147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9"/>
      <c r="AE65" s="150"/>
      <c r="AF65" s="151"/>
      <c r="AG65" s="152"/>
      <c r="AH65" s="149"/>
    </row>
    <row r="66" customFormat="false" ht="12" hidden="false" customHeight="false" outlineLevel="0" collapsed="false">
      <c r="A66" s="134"/>
      <c r="B66" s="135"/>
      <c r="C66" s="143"/>
      <c r="D66" s="143"/>
      <c r="E66" s="143"/>
      <c r="F66" s="143"/>
      <c r="G66" s="143"/>
      <c r="H66" s="143"/>
      <c r="I66" s="143"/>
      <c r="J66" s="143"/>
      <c r="K66" s="143"/>
      <c r="L66" s="144"/>
      <c r="M66" s="143"/>
      <c r="N66" s="145"/>
      <c r="O66" s="146"/>
      <c r="P66" s="144"/>
      <c r="Q66" s="147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9"/>
      <c r="AE66" s="150"/>
      <c r="AF66" s="151"/>
      <c r="AG66" s="152"/>
      <c r="AH66" s="149"/>
    </row>
    <row r="67" customFormat="false" ht="12" hidden="false" customHeight="false" outlineLevel="0" collapsed="false">
      <c r="A67" s="134"/>
      <c r="B67" s="135"/>
      <c r="C67" s="143"/>
      <c r="D67" s="143"/>
      <c r="E67" s="143"/>
      <c r="F67" s="143"/>
      <c r="G67" s="143"/>
      <c r="H67" s="143"/>
      <c r="I67" s="143"/>
      <c r="J67" s="143"/>
      <c r="K67" s="143"/>
      <c r="L67" s="144"/>
      <c r="M67" s="143"/>
      <c r="N67" s="145"/>
      <c r="O67" s="146"/>
      <c r="P67" s="144"/>
      <c r="Q67" s="147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  <c r="AD67" s="149"/>
      <c r="AE67" s="150"/>
      <c r="AF67" s="151"/>
      <c r="AG67" s="152"/>
      <c r="AH67" s="149"/>
    </row>
    <row r="68" customFormat="false" ht="12" hidden="false" customHeight="false" outlineLevel="0" collapsed="false">
      <c r="A68" s="134"/>
      <c r="B68" s="135"/>
      <c r="C68" s="143"/>
      <c r="D68" s="143"/>
      <c r="E68" s="143"/>
      <c r="F68" s="143"/>
      <c r="G68" s="143"/>
      <c r="H68" s="143"/>
      <c r="I68" s="143"/>
      <c r="J68" s="143"/>
      <c r="K68" s="143"/>
      <c r="L68" s="144"/>
      <c r="M68" s="143"/>
      <c r="N68" s="145"/>
      <c r="O68" s="146"/>
      <c r="P68" s="144"/>
      <c r="Q68" s="147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9"/>
      <c r="AE68" s="150"/>
      <c r="AF68" s="151"/>
      <c r="AG68" s="152"/>
      <c r="AH68" s="149"/>
    </row>
    <row r="69" customFormat="false" ht="12" hidden="false" customHeight="false" outlineLevel="0" collapsed="false">
      <c r="A69" s="134"/>
      <c r="B69" s="135"/>
      <c r="C69" s="143"/>
      <c r="D69" s="143"/>
      <c r="E69" s="143"/>
      <c r="F69" s="143"/>
      <c r="G69" s="143"/>
      <c r="H69" s="143"/>
      <c r="I69" s="143"/>
      <c r="J69" s="143"/>
      <c r="K69" s="143"/>
      <c r="L69" s="144"/>
      <c r="M69" s="143"/>
      <c r="N69" s="145"/>
      <c r="O69" s="146"/>
      <c r="P69" s="144"/>
      <c r="Q69" s="147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9"/>
      <c r="AE69" s="150"/>
      <c r="AF69" s="151"/>
      <c r="AG69" s="152"/>
      <c r="AH69" s="149"/>
    </row>
    <row r="70" customFormat="false" ht="12" hidden="false" customHeight="false" outlineLevel="0" collapsed="false">
      <c r="A70" s="134"/>
      <c r="B70" s="135"/>
      <c r="C70" s="143"/>
      <c r="D70" s="143"/>
      <c r="E70" s="143"/>
      <c r="F70" s="143"/>
      <c r="G70" s="143"/>
      <c r="H70" s="143"/>
      <c r="I70" s="143"/>
      <c r="J70" s="143"/>
      <c r="K70" s="143"/>
      <c r="L70" s="144"/>
      <c r="M70" s="143"/>
      <c r="N70" s="145"/>
      <c r="O70" s="146"/>
      <c r="P70" s="144"/>
      <c r="Q70" s="147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9"/>
      <c r="AE70" s="150"/>
      <c r="AF70" s="151"/>
      <c r="AG70" s="152"/>
      <c r="AH70" s="149"/>
    </row>
    <row r="71" customFormat="false" ht="12" hidden="false" customHeight="false" outlineLevel="0" collapsed="false">
      <c r="A71" s="134"/>
      <c r="B71" s="135"/>
      <c r="C71" s="143"/>
      <c r="D71" s="143"/>
      <c r="E71" s="143"/>
      <c r="F71" s="143"/>
      <c r="G71" s="143"/>
      <c r="H71" s="143"/>
      <c r="I71" s="143"/>
      <c r="J71" s="143"/>
      <c r="K71" s="143"/>
      <c r="L71" s="144"/>
      <c r="M71" s="143"/>
      <c r="N71" s="145"/>
      <c r="O71" s="146"/>
      <c r="P71" s="144"/>
      <c r="Q71" s="147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9"/>
      <c r="AE71" s="150"/>
      <c r="AF71" s="151"/>
      <c r="AG71" s="152"/>
      <c r="AH71" s="149"/>
    </row>
    <row r="72" customFormat="false" ht="12" hidden="false" customHeight="false" outlineLevel="0" collapsed="false">
      <c r="A72" s="134"/>
      <c r="B72" s="135"/>
      <c r="C72" s="143"/>
      <c r="D72" s="143"/>
      <c r="E72" s="143"/>
      <c r="F72" s="143"/>
      <c r="G72" s="143"/>
      <c r="H72" s="143"/>
      <c r="I72" s="143"/>
      <c r="J72" s="143"/>
      <c r="K72" s="143"/>
      <c r="L72" s="144"/>
      <c r="M72" s="143"/>
      <c r="N72" s="145"/>
      <c r="O72" s="146"/>
      <c r="P72" s="144"/>
      <c r="Q72" s="147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9"/>
      <c r="AE72" s="150"/>
      <c r="AF72" s="151"/>
      <c r="AG72" s="152"/>
      <c r="AH72" s="149"/>
    </row>
    <row r="73" customFormat="false" ht="12" hidden="false" customHeight="false" outlineLevel="0" collapsed="false">
      <c r="A73" s="134"/>
      <c r="B73" s="135"/>
      <c r="C73" s="143"/>
      <c r="D73" s="143"/>
      <c r="E73" s="143"/>
      <c r="F73" s="143"/>
      <c r="G73" s="143"/>
      <c r="H73" s="143"/>
      <c r="I73" s="143"/>
      <c r="J73" s="143"/>
      <c r="K73" s="143"/>
      <c r="L73" s="144"/>
      <c r="M73" s="143"/>
      <c r="N73" s="145"/>
      <c r="O73" s="146"/>
      <c r="P73" s="144"/>
      <c r="Q73" s="147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149"/>
      <c r="AE73" s="150"/>
      <c r="AF73" s="151"/>
      <c r="AG73" s="152"/>
      <c r="AH73" s="149"/>
    </row>
    <row r="74" customFormat="false" ht="12" hidden="false" customHeight="false" outlineLevel="0" collapsed="false">
      <c r="A74" s="134"/>
      <c r="B74" s="135"/>
      <c r="C74" s="143"/>
      <c r="D74" s="143"/>
      <c r="E74" s="143"/>
      <c r="F74" s="143"/>
      <c r="G74" s="143"/>
      <c r="H74" s="143"/>
      <c r="I74" s="143"/>
      <c r="J74" s="143"/>
      <c r="K74" s="143"/>
      <c r="L74" s="144"/>
      <c r="M74" s="143"/>
      <c r="N74" s="145"/>
      <c r="O74" s="146"/>
      <c r="P74" s="144"/>
      <c r="Q74" s="147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9"/>
      <c r="AE74" s="150"/>
      <c r="AF74" s="151"/>
      <c r="AG74" s="152"/>
      <c r="AH74" s="149"/>
    </row>
    <row r="75" customFormat="false" ht="12" hidden="false" customHeight="false" outlineLevel="0" collapsed="false">
      <c r="A75" s="134"/>
      <c r="B75" s="135"/>
      <c r="C75" s="143"/>
      <c r="D75" s="143"/>
      <c r="E75" s="143"/>
      <c r="F75" s="143"/>
      <c r="G75" s="143"/>
      <c r="H75" s="143"/>
      <c r="I75" s="143"/>
      <c r="J75" s="143"/>
      <c r="K75" s="143"/>
      <c r="L75" s="144"/>
      <c r="M75" s="143"/>
      <c r="N75" s="145"/>
      <c r="O75" s="146"/>
      <c r="P75" s="144"/>
      <c r="Q75" s="147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149"/>
      <c r="AE75" s="150"/>
      <c r="AF75" s="151"/>
      <c r="AG75" s="152"/>
      <c r="AH75" s="149"/>
    </row>
    <row r="76" customFormat="false" ht="12" hidden="false" customHeight="false" outlineLevel="0" collapsed="false">
      <c r="A76" s="134"/>
      <c r="B76" s="135"/>
      <c r="C76" s="143"/>
      <c r="D76" s="143"/>
      <c r="E76" s="143"/>
      <c r="F76" s="143"/>
      <c r="G76" s="143"/>
      <c r="H76" s="143"/>
      <c r="I76" s="143"/>
      <c r="J76" s="143"/>
      <c r="K76" s="143"/>
      <c r="L76" s="144"/>
      <c r="M76" s="143"/>
      <c r="N76" s="145"/>
      <c r="O76" s="146"/>
      <c r="P76" s="144"/>
      <c r="Q76" s="147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9"/>
      <c r="AE76" s="150"/>
      <c r="AF76" s="151"/>
      <c r="AG76" s="152"/>
      <c r="AH76" s="149"/>
    </row>
    <row r="77" customFormat="false" ht="12" hidden="false" customHeight="false" outlineLevel="0" collapsed="false">
      <c r="A77" s="134"/>
      <c r="B77" s="135"/>
      <c r="C77" s="143"/>
      <c r="D77" s="143"/>
      <c r="E77" s="143"/>
      <c r="F77" s="143"/>
      <c r="G77" s="143"/>
      <c r="H77" s="143"/>
      <c r="I77" s="143"/>
      <c r="J77" s="143"/>
      <c r="K77" s="143"/>
      <c r="L77" s="144"/>
      <c r="M77" s="143"/>
      <c r="N77" s="145"/>
      <c r="O77" s="146"/>
      <c r="P77" s="144"/>
      <c r="Q77" s="147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9"/>
      <c r="AE77" s="150"/>
      <c r="AF77" s="151"/>
      <c r="AG77" s="152"/>
      <c r="AH77" s="149"/>
    </row>
    <row r="78" customFormat="false" ht="12" hidden="false" customHeight="false" outlineLevel="0" collapsed="false">
      <c r="A78" s="134"/>
      <c r="B78" s="135"/>
      <c r="C78" s="143"/>
      <c r="D78" s="143"/>
      <c r="E78" s="143"/>
      <c r="F78" s="143"/>
      <c r="G78" s="143"/>
      <c r="H78" s="143"/>
      <c r="I78" s="143"/>
      <c r="J78" s="143"/>
      <c r="K78" s="143"/>
      <c r="L78" s="144"/>
      <c r="M78" s="143"/>
      <c r="N78" s="145"/>
      <c r="O78" s="146"/>
      <c r="P78" s="144"/>
      <c r="Q78" s="147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9"/>
      <c r="AE78" s="150"/>
      <c r="AF78" s="151"/>
      <c r="AG78" s="152"/>
      <c r="AH78" s="149"/>
    </row>
    <row r="79" customFormat="false" ht="12" hidden="false" customHeight="false" outlineLevel="0" collapsed="false">
      <c r="A79" s="134"/>
      <c r="B79" s="135"/>
      <c r="C79" s="143"/>
      <c r="D79" s="143"/>
      <c r="E79" s="143"/>
      <c r="F79" s="143"/>
      <c r="G79" s="143"/>
      <c r="H79" s="143"/>
      <c r="I79" s="143"/>
      <c r="J79" s="143"/>
      <c r="K79" s="143"/>
      <c r="L79" s="144"/>
      <c r="M79" s="143"/>
      <c r="N79" s="145"/>
      <c r="O79" s="146"/>
      <c r="P79" s="144"/>
      <c r="Q79" s="147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  <c r="AD79" s="149"/>
      <c r="AE79" s="150"/>
      <c r="AF79" s="151"/>
      <c r="AG79" s="152"/>
      <c r="AH79" s="149"/>
    </row>
    <row r="80" customFormat="false" ht="12" hidden="false" customHeight="false" outlineLevel="0" collapsed="false">
      <c r="A80" s="134"/>
      <c r="B80" s="135"/>
      <c r="C80" s="143"/>
      <c r="D80" s="143"/>
      <c r="E80" s="143"/>
      <c r="F80" s="143"/>
      <c r="G80" s="143"/>
      <c r="H80" s="143"/>
      <c r="I80" s="143"/>
      <c r="J80" s="143"/>
      <c r="K80" s="143"/>
      <c r="L80" s="144"/>
      <c r="M80" s="143"/>
      <c r="N80" s="145"/>
      <c r="O80" s="146"/>
      <c r="P80" s="144"/>
      <c r="Q80" s="147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  <c r="AC80" s="148"/>
      <c r="AD80" s="149"/>
      <c r="AE80" s="150"/>
      <c r="AF80" s="151"/>
      <c r="AG80" s="152"/>
      <c r="AH80" s="149"/>
    </row>
    <row r="81" customFormat="false" ht="12" hidden="false" customHeight="false" outlineLevel="0" collapsed="false">
      <c r="A81" s="134"/>
      <c r="B81" s="135"/>
      <c r="C81" s="143"/>
      <c r="D81" s="143"/>
      <c r="E81" s="143"/>
      <c r="F81" s="143"/>
      <c r="G81" s="143"/>
      <c r="H81" s="143"/>
      <c r="I81" s="143"/>
      <c r="J81" s="143"/>
      <c r="K81" s="143"/>
      <c r="L81" s="144"/>
      <c r="M81" s="143"/>
      <c r="N81" s="145"/>
      <c r="O81" s="146"/>
      <c r="P81" s="144"/>
      <c r="Q81" s="147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9"/>
      <c r="AE81" s="150"/>
      <c r="AF81" s="151"/>
      <c r="AG81" s="152"/>
      <c r="AH81" s="149"/>
    </row>
    <row r="82" customFormat="false" ht="12" hidden="false" customHeight="false" outlineLevel="0" collapsed="false">
      <c r="A82" s="134"/>
      <c r="B82" s="135"/>
      <c r="C82" s="143"/>
      <c r="D82" s="143"/>
      <c r="E82" s="143"/>
      <c r="F82" s="143"/>
      <c r="G82" s="143"/>
      <c r="H82" s="143"/>
      <c r="I82" s="143"/>
      <c r="J82" s="143"/>
      <c r="K82" s="143"/>
      <c r="L82" s="144"/>
      <c r="M82" s="143"/>
      <c r="N82" s="145"/>
      <c r="O82" s="146"/>
      <c r="P82" s="144"/>
      <c r="Q82" s="147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  <c r="AD82" s="149"/>
      <c r="AE82" s="150"/>
      <c r="AF82" s="151"/>
      <c r="AG82" s="152"/>
      <c r="AH82" s="149"/>
    </row>
    <row r="83" customFormat="false" ht="12" hidden="false" customHeight="false" outlineLevel="0" collapsed="false">
      <c r="A83" s="134"/>
      <c r="B83" s="135"/>
      <c r="C83" s="143"/>
      <c r="D83" s="143"/>
      <c r="E83" s="143"/>
      <c r="F83" s="143"/>
      <c r="G83" s="143"/>
      <c r="H83" s="143"/>
      <c r="I83" s="143"/>
      <c r="J83" s="143"/>
      <c r="K83" s="143"/>
      <c r="L83" s="144"/>
      <c r="M83" s="143"/>
      <c r="N83" s="145"/>
      <c r="O83" s="146"/>
      <c r="P83" s="144"/>
      <c r="Q83" s="147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9"/>
      <c r="AE83" s="150"/>
      <c r="AF83" s="151"/>
      <c r="AG83" s="152"/>
      <c r="AH83" s="149"/>
    </row>
    <row r="84" customFormat="false" ht="12" hidden="false" customHeight="false" outlineLevel="0" collapsed="false">
      <c r="A84" s="134"/>
      <c r="B84" s="135"/>
      <c r="C84" s="143"/>
      <c r="D84" s="143"/>
      <c r="E84" s="143"/>
      <c r="F84" s="143"/>
      <c r="G84" s="143"/>
      <c r="H84" s="143"/>
      <c r="I84" s="143"/>
      <c r="J84" s="143"/>
      <c r="K84" s="143"/>
      <c r="L84" s="144"/>
      <c r="M84" s="143"/>
      <c r="N84" s="145"/>
      <c r="O84" s="146"/>
      <c r="P84" s="144"/>
      <c r="Q84" s="147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9"/>
      <c r="AE84" s="150"/>
      <c r="AF84" s="151"/>
      <c r="AG84" s="152"/>
      <c r="AH84" s="149"/>
    </row>
    <row r="85" customFormat="false" ht="12" hidden="false" customHeight="false" outlineLevel="0" collapsed="false">
      <c r="A85" s="134"/>
      <c r="B85" s="135"/>
      <c r="C85" s="143"/>
      <c r="D85" s="143"/>
      <c r="E85" s="143"/>
      <c r="F85" s="143"/>
      <c r="G85" s="143"/>
      <c r="H85" s="143"/>
      <c r="I85" s="143"/>
      <c r="J85" s="143"/>
      <c r="K85" s="143"/>
      <c r="L85" s="144"/>
      <c r="M85" s="143"/>
      <c r="N85" s="145"/>
      <c r="O85" s="146"/>
      <c r="P85" s="144"/>
      <c r="Q85" s="147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9"/>
      <c r="AE85" s="150"/>
      <c r="AF85" s="151"/>
      <c r="AG85" s="152"/>
      <c r="AH85" s="149"/>
    </row>
    <row r="86" customFormat="false" ht="12" hidden="false" customHeight="false" outlineLevel="0" collapsed="false">
      <c r="A86" s="134"/>
      <c r="B86" s="135"/>
      <c r="C86" s="143"/>
      <c r="D86" s="143"/>
      <c r="E86" s="143"/>
      <c r="F86" s="143"/>
      <c r="G86" s="143"/>
      <c r="H86" s="143"/>
      <c r="I86" s="143"/>
      <c r="J86" s="143"/>
      <c r="K86" s="143"/>
      <c r="L86" s="144"/>
      <c r="M86" s="143"/>
      <c r="N86" s="145"/>
      <c r="O86" s="146"/>
      <c r="P86" s="144"/>
      <c r="Q86" s="147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  <c r="AC86" s="148"/>
      <c r="AD86" s="149"/>
      <c r="AE86" s="150"/>
      <c r="AF86" s="151"/>
      <c r="AG86" s="152"/>
      <c r="AH86" s="149"/>
    </row>
    <row r="87" customFormat="false" ht="12" hidden="false" customHeight="false" outlineLevel="0" collapsed="false">
      <c r="A87" s="134"/>
      <c r="B87" s="135"/>
      <c r="C87" s="143"/>
      <c r="D87" s="143"/>
      <c r="E87" s="143"/>
      <c r="F87" s="143"/>
      <c r="G87" s="143"/>
      <c r="H87" s="143"/>
      <c r="I87" s="143"/>
      <c r="J87" s="143"/>
      <c r="K87" s="143"/>
      <c r="L87" s="144"/>
      <c r="M87" s="143"/>
      <c r="N87" s="145"/>
      <c r="O87" s="146"/>
      <c r="P87" s="144"/>
      <c r="Q87" s="147"/>
      <c r="R87" s="148"/>
      <c r="S87" s="148"/>
      <c r="T87" s="148"/>
      <c r="U87" s="148"/>
      <c r="V87" s="148"/>
      <c r="W87" s="148"/>
      <c r="X87" s="148"/>
      <c r="Y87" s="148"/>
      <c r="Z87" s="148"/>
      <c r="AA87" s="148"/>
      <c r="AB87" s="148"/>
      <c r="AC87" s="148"/>
      <c r="AD87" s="149"/>
      <c r="AE87" s="150"/>
      <c r="AF87" s="151"/>
      <c r="AG87" s="152"/>
      <c r="AH87" s="149"/>
    </row>
    <row r="88" customFormat="false" ht="12" hidden="false" customHeight="false" outlineLevel="0" collapsed="false">
      <c r="A88" s="134"/>
      <c r="B88" s="135"/>
      <c r="C88" s="143"/>
      <c r="D88" s="143"/>
      <c r="E88" s="143"/>
      <c r="F88" s="143"/>
      <c r="G88" s="143"/>
      <c r="H88" s="143"/>
      <c r="I88" s="143"/>
      <c r="J88" s="143"/>
      <c r="K88" s="143"/>
      <c r="L88" s="144"/>
      <c r="M88" s="143"/>
      <c r="N88" s="145"/>
      <c r="O88" s="146"/>
      <c r="P88" s="144"/>
      <c r="Q88" s="147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  <c r="AC88" s="148"/>
      <c r="AD88" s="149"/>
      <c r="AE88" s="150"/>
      <c r="AF88" s="151"/>
      <c r="AG88" s="152"/>
      <c r="AH88" s="149"/>
    </row>
    <row r="89" customFormat="false" ht="12" hidden="false" customHeight="false" outlineLevel="0" collapsed="false">
      <c r="A89" s="134"/>
      <c r="B89" s="135"/>
      <c r="C89" s="143"/>
      <c r="D89" s="143"/>
      <c r="E89" s="143"/>
      <c r="F89" s="143"/>
      <c r="G89" s="143"/>
      <c r="H89" s="143"/>
      <c r="I89" s="143"/>
      <c r="J89" s="143"/>
      <c r="K89" s="143"/>
      <c r="L89" s="144"/>
      <c r="M89" s="143"/>
      <c r="N89" s="145"/>
      <c r="O89" s="146"/>
      <c r="P89" s="144"/>
      <c r="Q89" s="147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  <c r="AC89" s="148"/>
      <c r="AD89" s="149"/>
      <c r="AE89" s="150"/>
      <c r="AF89" s="151"/>
      <c r="AG89" s="152"/>
      <c r="AH89" s="149"/>
    </row>
    <row r="90" customFormat="false" ht="12" hidden="false" customHeight="false" outlineLevel="0" collapsed="false">
      <c r="A90" s="134"/>
      <c r="B90" s="135"/>
      <c r="C90" s="143"/>
      <c r="D90" s="143"/>
      <c r="E90" s="143"/>
      <c r="F90" s="143"/>
      <c r="G90" s="143"/>
      <c r="H90" s="143"/>
      <c r="I90" s="143"/>
      <c r="J90" s="143"/>
      <c r="K90" s="143"/>
      <c r="L90" s="144"/>
      <c r="M90" s="143"/>
      <c r="N90" s="145"/>
      <c r="O90" s="146"/>
      <c r="P90" s="144"/>
      <c r="Q90" s="147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9"/>
      <c r="AE90" s="150"/>
      <c r="AF90" s="151"/>
      <c r="AG90" s="152"/>
      <c r="AH90" s="149"/>
    </row>
    <row r="91" customFormat="false" ht="12" hidden="false" customHeight="false" outlineLevel="0" collapsed="false">
      <c r="A91" s="134"/>
      <c r="B91" s="135"/>
      <c r="C91" s="143"/>
      <c r="D91" s="143"/>
      <c r="E91" s="143"/>
      <c r="F91" s="143"/>
      <c r="G91" s="143"/>
      <c r="H91" s="143"/>
      <c r="I91" s="143"/>
      <c r="J91" s="143"/>
      <c r="K91" s="143"/>
      <c r="L91" s="144"/>
      <c r="M91" s="143"/>
      <c r="N91" s="145"/>
      <c r="O91" s="146"/>
      <c r="P91" s="144"/>
      <c r="Q91" s="147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49"/>
      <c r="AE91" s="150"/>
      <c r="AF91" s="151"/>
      <c r="AG91" s="152"/>
      <c r="AH91" s="149"/>
    </row>
    <row r="92" customFormat="false" ht="12" hidden="false" customHeight="false" outlineLevel="0" collapsed="false">
      <c r="A92" s="134"/>
      <c r="B92" s="135"/>
      <c r="C92" s="143"/>
      <c r="D92" s="143"/>
      <c r="E92" s="143"/>
      <c r="F92" s="143"/>
      <c r="G92" s="143"/>
      <c r="H92" s="143"/>
      <c r="I92" s="143"/>
      <c r="J92" s="143"/>
      <c r="K92" s="143"/>
      <c r="L92" s="144"/>
      <c r="M92" s="143"/>
      <c r="N92" s="145"/>
      <c r="O92" s="146"/>
      <c r="P92" s="144"/>
      <c r="Q92" s="147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  <c r="AC92" s="148"/>
      <c r="AD92" s="149"/>
      <c r="AE92" s="150"/>
      <c r="AF92" s="151"/>
      <c r="AG92" s="152"/>
      <c r="AH92" s="149"/>
    </row>
    <row r="93" customFormat="false" ht="12" hidden="false" customHeight="false" outlineLevel="0" collapsed="false">
      <c r="A93" s="134"/>
      <c r="B93" s="135"/>
      <c r="C93" s="143"/>
      <c r="D93" s="143"/>
      <c r="E93" s="143"/>
      <c r="F93" s="143"/>
      <c r="G93" s="143"/>
      <c r="H93" s="143"/>
      <c r="I93" s="143"/>
      <c r="J93" s="143"/>
      <c r="K93" s="143"/>
      <c r="L93" s="144"/>
      <c r="M93" s="143"/>
      <c r="N93" s="145"/>
      <c r="O93" s="146"/>
      <c r="P93" s="144"/>
      <c r="Q93" s="147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  <c r="AC93" s="148"/>
      <c r="AD93" s="149"/>
      <c r="AE93" s="150"/>
      <c r="AF93" s="151"/>
      <c r="AG93" s="152"/>
      <c r="AH93" s="149"/>
    </row>
    <row r="94" customFormat="false" ht="12" hidden="false" customHeight="false" outlineLevel="0" collapsed="false">
      <c r="A94" s="134"/>
      <c r="B94" s="135"/>
      <c r="C94" s="143"/>
      <c r="D94" s="143"/>
      <c r="E94" s="143"/>
      <c r="F94" s="143"/>
      <c r="G94" s="143"/>
      <c r="H94" s="143"/>
      <c r="I94" s="143"/>
      <c r="J94" s="143"/>
      <c r="K94" s="143"/>
      <c r="L94" s="144"/>
      <c r="M94" s="143"/>
      <c r="N94" s="145"/>
      <c r="O94" s="146"/>
      <c r="P94" s="144"/>
      <c r="Q94" s="147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  <c r="AC94" s="148"/>
      <c r="AD94" s="149"/>
      <c r="AE94" s="150"/>
      <c r="AF94" s="151"/>
      <c r="AG94" s="152"/>
      <c r="AH94" s="149"/>
    </row>
    <row r="95" customFormat="false" ht="12" hidden="false" customHeight="false" outlineLevel="0" collapsed="false">
      <c r="A95" s="134"/>
      <c r="B95" s="135"/>
      <c r="C95" s="143"/>
      <c r="D95" s="143"/>
      <c r="E95" s="143"/>
      <c r="F95" s="143"/>
      <c r="G95" s="143"/>
      <c r="H95" s="143"/>
      <c r="I95" s="143"/>
      <c r="J95" s="143"/>
      <c r="K95" s="143"/>
      <c r="L95" s="144"/>
      <c r="M95" s="143"/>
      <c r="N95" s="145"/>
      <c r="O95" s="146"/>
      <c r="P95" s="144"/>
      <c r="Q95" s="147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  <c r="AD95" s="149"/>
      <c r="AE95" s="150"/>
      <c r="AF95" s="151"/>
      <c r="AG95" s="152"/>
      <c r="AH95" s="149"/>
    </row>
    <row r="96" customFormat="false" ht="12" hidden="false" customHeight="false" outlineLevel="0" collapsed="false">
      <c r="A96" s="134"/>
      <c r="B96" s="135"/>
      <c r="C96" s="143"/>
      <c r="D96" s="143"/>
      <c r="E96" s="143"/>
      <c r="F96" s="143"/>
      <c r="G96" s="143"/>
      <c r="H96" s="143"/>
      <c r="I96" s="143"/>
      <c r="J96" s="143"/>
      <c r="K96" s="143"/>
      <c r="L96" s="144"/>
      <c r="M96" s="143"/>
      <c r="N96" s="145"/>
      <c r="O96" s="146"/>
      <c r="P96" s="144"/>
      <c r="Q96" s="147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  <c r="AD96" s="149"/>
      <c r="AE96" s="150"/>
      <c r="AF96" s="151"/>
      <c r="AG96" s="152"/>
      <c r="AH96" s="149"/>
    </row>
    <row r="97" customFormat="false" ht="12" hidden="false" customHeight="false" outlineLevel="0" collapsed="false">
      <c r="A97" s="134"/>
      <c r="B97" s="135"/>
      <c r="C97" s="143"/>
      <c r="D97" s="143"/>
      <c r="E97" s="143"/>
      <c r="F97" s="143"/>
      <c r="G97" s="143"/>
      <c r="H97" s="143"/>
      <c r="I97" s="143"/>
      <c r="J97" s="143"/>
      <c r="K97" s="143"/>
      <c r="L97" s="144"/>
      <c r="M97" s="143"/>
      <c r="N97" s="145"/>
      <c r="O97" s="146"/>
      <c r="P97" s="144"/>
      <c r="Q97" s="147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9"/>
      <c r="AE97" s="150"/>
      <c r="AF97" s="151"/>
      <c r="AG97" s="152"/>
      <c r="AH97" s="149"/>
    </row>
    <row r="98" customFormat="false" ht="12" hidden="false" customHeight="false" outlineLevel="0" collapsed="false">
      <c r="A98" s="134"/>
      <c r="B98" s="135"/>
      <c r="C98" s="143"/>
      <c r="D98" s="143"/>
      <c r="E98" s="143"/>
      <c r="F98" s="143"/>
      <c r="G98" s="143"/>
      <c r="H98" s="143"/>
      <c r="I98" s="143"/>
      <c r="J98" s="143"/>
      <c r="K98" s="143"/>
      <c r="L98" s="144"/>
      <c r="M98" s="143"/>
      <c r="N98" s="145"/>
      <c r="O98" s="146"/>
      <c r="P98" s="144"/>
      <c r="Q98" s="147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49"/>
      <c r="AE98" s="150"/>
      <c r="AF98" s="151"/>
      <c r="AG98" s="152"/>
      <c r="AH98" s="149"/>
    </row>
    <row r="99" customFormat="false" ht="12" hidden="false" customHeight="false" outlineLevel="0" collapsed="false">
      <c r="A99" s="134"/>
      <c r="B99" s="135"/>
      <c r="C99" s="143"/>
      <c r="D99" s="143"/>
      <c r="E99" s="143"/>
      <c r="F99" s="143"/>
      <c r="G99" s="143"/>
      <c r="H99" s="143"/>
      <c r="I99" s="143"/>
      <c r="J99" s="143"/>
      <c r="K99" s="143"/>
      <c r="L99" s="144"/>
      <c r="M99" s="143"/>
      <c r="N99" s="145"/>
      <c r="O99" s="146"/>
      <c r="P99" s="144"/>
      <c r="Q99" s="147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  <c r="AC99" s="148"/>
      <c r="AD99" s="149"/>
      <c r="AE99" s="150"/>
      <c r="AF99" s="151"/>
      <c r="AG99" s="152"/>
      <c r="AH99" s="149"/>
    </row>
    <row r="100" customFormat="false" ht="12" hidden="false" customHeight="false" outlineLevel="0" collapsed="false">
      <c r="A100" s="134"/>
      <c r="B100" s="135"/>
      <c r="C100" s="143"/>
      <c r="D100" s="143"/>
      <c r="E100" s="143"/>
      <c r="F100" s="143"/>
      <c r="G100" s="143"/>
      <c r="H100" s="143"/>
      <c r="I100" s="143"/>
      <c r="J100" s="143"/>
      <c r="K100" s="143"/>
      <c r="L100" s="144"/>
      <c r="M100" s="143"/>
      <c r="N100" s="145"/>
      <c r="O100" s="146"/>
      <c r="P100" s="144"/>
      <c r="Q100" s="147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  <c r="AD100" s="149"/>
      <c r="AE100" s="150"/>
      <c r="AF100" s="151"/>
      <c r="AG100" s="152"/>
      <c r="AH100" s="149"/>
    </row>
    <row r="101" customFormat="false" ht="12" hidden="false" customHeight="false" outlineLevel="0" collapsed="false">
      <c r="A101" s="134"/>
      <c r="B101" s="135"/>
      <c r="C101" s="143"/>
      <c r="D101" s="143"/>
      <c r="E101" s="143"/>
      <c r="F101" s="143"/>
      <c r="G101" s="143"/>
      <c r="H101" s="143"/>
      <c r="I101" s="143"/>
      <c r="J101" s="143"/>
      <c r="K101" s="143"/>
      <c r="L101" s="144"/>
      <c r="M101" s="143"/>
      <c r="N101" s="145"/>
      <c r="O101" s="146"/>
      <c r="P101" s="144"/>
      <c r="Q101" s="147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  <c r="AC101" s="148"/>
      <c r="AD101" s="149"/>
      <c r="AE101" s="150"/>
      <c r="AF101" s="151"/>
      <c r="AG101" s="152"/>
      <c r="AH101" s="149"/>
    </row>
    <row r="102" customFormat="false" ht="12" hidden="false" customHeight="false" outlineLevel="0" collapsed="false">
      <c r="A102" s="134"/>
      <c r="B102" s="135"/>
      <c r="C102" s="143"/>
      <c r="D102" s="143"/>
      <c r="E102" s="143"/>
      <c r="F102" s="143"/>
      <c r="G102" s="143"/>
      <c r="H102" s="143"/>
      <c r="I102" s="143"/>
      <c r="J102" s="143"/>
      <c r="K102" s="143"/>
      <c r="L102" s="144"/>
      <c r="M102" s="143"/>
      <c r="N102" s="145"/>
      <c r="O102" s="146"/>
      <c r="P102" s="144"/>
      <c r="Q102" s="147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  <c r="AD102" s="149"/>
      <c r="AE102" s="150"/>
      <c r="AF102" s="151"/>
      <c r="AG102" s="152"/>
      <c r="AH102" s="149"/>
    </row>
    <row r="103" customFormat="false" ht="12" hidden="false" customHeight="false" outlineLevel="0" collapsed="false">
      <c r="A103" s="134"/>
      <c r="B103" s="135"/>
      <c r="C103" s="143"/>
      <c r="D103" s="143"/>
      <c r="E103" s="143"/>
      <c r="F103" s="143"/>
      <c r="G103" s="143"/>
      <c r="H103" s="143"/>
      <c r="I103" s="143"/>
      <c r="J103" s="143"/>
      <c r="K103" s="143"/>
      <c r="L103" s="144"/>
      <c r="M103" s="143"/>
      <c r="N103" s="145"/>
      <c r="O103" s="146"/>
      <c r="P103" s="144"/>
      <c r="Q103" s="147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  <c r="AD103" s="149"/>
      <c r="AE103" s="150"/>
      <c r="AF103" s="151"/>
      <c r="AG103" s="152"/>
      <c r="AH103" s="149"/>
    </row>
    <row r="104" customFormat="false" ht="12" hidden="false" customHeight="false" outlineLevel="0" collapsed="false">
      <c r="A104" s="134"/>
      <c r="B104" s="135"/>
      <c r="C104" s="143"/>
      <c r="D104" s="143"/>
      <c r="E104" s="143"/>
      <c r="F104" s="143"/>
      <c r="G104" s="143"/>
      <c r="H104" s="143"/>
      <c r="I104" s="143"/>
      <c r="J104" s="143"/>
      <c r="K104" s="143"/>
      <c r="L104" s="144"/>
      <c r="M104" s="143"/>
      <c r="N104" s="145"/>
      <c r="O104" s="146"/>
      <c r="P104" s="144"/>
      <c r="Q104" s="147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9"/>
      <c r="AE104" s="150"/>
      <c r="AF104" s="151"/>
      <c r="AG104" s="152"/>
      <c r="AH104" s="149"/>
    </row>
    <row r="105" customFormat="false" ht="12" hidden="false" customHeight="false" outlineLevel="0" collapsed="false">
      <c r="A105" s="134"/>
      <c r="B105" s="135"/>
      <c r="C105" s="143"/>
      <c r="D105" s="143"/>
      <c r="E105" s="143"/>
      <c r="F105" s="143"/>
      <c r="G105" s="143"/>
      <c r="H105" s="143"/>
      <c r="I105" s="143"/>
      <c r="J105" s="143"/>
      <c r="K105" s="143"/>
      <c r="L105" s="144"/>
      <c r="M105" s="143"/>
      <c r="N105" s="145"/>
      <c r="O105" s="146"/>
      <c r="P105" s="144"/>
      <c r="Q105" s="147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  <c r="AD105" s="149"/>
      <c r="AE105" s="150"/>
      <c r="AF105" s="151"/>
      <c r="AG105" s="152"/>
      <c r="AH105" s="149"/>
    </row>
    <row r="106" customFormat="false" ht="12" hidden="false" customHeight="false" outlineLevel="0" collapsed="false">
      <c r="A106" s="134"/>
      <c r="B106" s="135"/>
      <c r="C106" s="143"/>
      <c r="D106" s="143"/>
      <c r="E106" s="143"/>
      <c r="F106" s="143"/>
      <c r="G106" s="143"/>
      <c r="H106" s="143"/>
      <c r="I106" s="143"/>
      <c r="J106" s="143"/>
      <c r="K106" s="143"/>
      <c r="L106" s="144"/>
      <c r="M106" s="143"/>
      <c r="N106" s="145"/>
      <c r="O106" s="146"/>
      <c r="P106" s="144"/>
      <c r="Q106" s="147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  <c r="AD106" s="149"/>
      <c r="AE106" s="150"/>
      <c r="AF106" s="151"/>
      <c r="AG106" s="152"/>
      <c r="AH106" s="149"/>
    </row>
    <row r="107" customFormat="false" ht="12" hidden="false" customHeight="false" outlineLevel="0" collapsed="false">
      <c r="A107" s="134"/>
      <c r="B107" s="135"/>
      <c r="C107" s="143"/>
      <c r="D107" s="143"/>
      <c r="E107" s="143"/>
      <c r="F107" s="143"/>
      <c r="G107" s="143"/>
      <c r="H107" s="143"/>
      <c r="I107" s="143"/>
      <c r="J107" s="143"/>
      <c r="K107" s="143"/>
      <c r="L107" s="144"/>
      <c r="M107" s="143"/>
      <c r="N107" s="145"/>
      <c r="O107" s="146"/>
      <c r="P107" s="144"/>
      <c r="Q107" s="147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  <c r="AC107" s="148"/>
      <c r="AD107" s="149"/>
      <c r="AE107" s="150"/>
      <c r="AF107" s="151"/>
      <c r="AG107" s="152"/>
      <c r="AH107" s="149"/>
    </row>
    <row r="108" customFormat="false" ht="12" hidden="false" customHeight="false" outlineLevel="0" collapsed="false">
      <c r="A108" s="134"/>
      <c r="B108" s="135"/>
      <c r="C108" s="143"/>
      <c r="D108" s="143"/>
      <c r="E108" s="143"/>
      <c r="F108" s="143"/>
      <c r="G108" s="143"/>
      <c r="H108" s="143"/>
      <c r="I108" s="143"/>
      <c r="J108" s="143"/>
      <c r="K108" s="143"/>
      <c r="L108" s="144"/>
      <c r="M108" s="143"/>
      <c r="N108" s="145"/>
      <c r="O108" s="146"/>
      <c r="P108" s="144"/>
      <c r="Q108" s="147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  <c r="AD108" s="149"/>
      <c r="AE108" s="150"/>
      <c r="AF108" s="151"/>
      <c r="AG108" s="152"/>
      <c r="AH108" s="149"/>
    </row>
    <row r="109" customFormat="false" ht="12" hidden="false" customHeight="false" outlineLevel="0" collapsed="false">
      <c r="A109" s="134"/>
      <c r="B109" s="135"/>
      <c r="C109" s="143"/>
      <c r="D109" s="143"/>
      <c r="E109" s="143"/>
      <c r="F109" s="143"/>
      <c r="G109" s="143"/>
      <c r="H109" s="143"/>
      <c r="I109" s="143"/>
      <c r="J109" s="143"/>
      <c r="K109" s="143"/>
      <c r="L109" s="144"/>
      <c r="M109" s="143"/>
      <c r="N109" s="145"/>
      <c r="O109" s="146"/>
      <c r="P109" s="144"/>
      <c r="Q109" s="147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  <c r="AD109" s="149"/>
      <c r="AE109" s="150"/>
      <c r="AF109" s="151"/>
      <c r="AG109" s="152"/>
      <c r="AH109" s="149"/>
    </row>
    <row r="110" customFormat="false" ht="12" hidden="false" customHeight="false" outlineLevel="0" collapsed="false">
      <c r="A110" s="134"/>
      <c r="B110" s="135"/>
      <c r="C110" s="143"/>
      <c r="D110" s="143"/>
      <c r="E110" s="143"/>
      <c r="F110" s="143"/>
      <c r="G110" s="143"/>
      <c r="H110" s="143"/>
      <c r="I110" s="143"/>
      <c r="J110" s="143"/>
      <c r="K110" s="143"/>
      <c r="L110" s="144"/>
      <c r="M110" s="143"/>
      <c r="N110" s="145"/>
      <c r="O110" s="146"/>
      <c r="P110" s="144"/>
      <c r="Q110" s="147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  <c r="AD110" s="149"/>
      <c r="AE110" s="150"/>
      <c r="AF110" s="151"/>
      <c r="AG110" s="152"/>
      <c r="AH110" s="149"/>
    </row>
    <row r="111" customFormat="false" ht="12" hidden="false" customHeight="false" outlineLevel="0" collapsed="false">
      <c r="A111" s="134"/>
      <c r="B111" s="135"/>
      <c r="C111" s="143"/>
      <c r="D111" s="143"/>
      <c r="E111" s="143"/>
      <c r="F111" s="143"/>
      <c r="G111" s="143"/>
      <c r="H111" s="143"/>
      <c r="I111" s="143"/>
      <c r="J111" s="143"/>
      <c r="K111" s="143"/>
      <c r="L111" s="144"/>
      <c r="M111" s="143"/>
      <c r="N111" s="145"/>
      <c r="O111" s="146"/>
      <c r="P111" s="144"/>
      <c r="Q111" s="147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  <c r="AC111" s="148"/>
      <c r="AD111" s="149"/>
      <c r="AE111" s="150"/>
      <c r="AF111" s="151"/>
      <c r="AG111" s="152"/>
      <c r="AH111" s="149"/>
    </row>
    <row r="112" customFormat="false" ht="12" hidden="false" customHeight="false" outlineLevel="0" collapsed="false">
      <c r="A112" s="134"/>
      <c r="B112" s="135"/>
      <c r="C112" s="143"/>
      <c r="D112" s="143"/>
      <c r="E112" s="143"/>
      <c r="F112" s="143"/>
      <c r="G112" s="143"/>
      <c r="H112" s="143"/>
      <c r="I112" s="143"/>
      <c r="J112" s="143"/>
      <c r="K112" s="143"/>
      <c r="L112" s="144"/>
      <c r="M112" s="143"/>
      <c r="N112" s="145"/>
      <c r="O112" s="146"/>
      <c r="P112" s="144"/>
      <c r="Q112" s="147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  <c r="AC112" s="148"/>
      <c r="AD112" s="149"/>
      <c r="AE112" s="150"/>
      <c r="AF112" s="151"/>
      <c r="AG112" s="152"/>
      <c r="AH112" s="149"/>
    </row>
    <row r="113" customFormat="false" ht="12" hidden="false" customHeight="false" outlineLevel="0" collapsed="false">
      <c r="A113" s="134"/>
      <c r="B113" s="135"/>
      <c r="C113" s="143"/>
      <c r="D113" s="143"/>
      <c r="E113" s="143"/>
      <c r="F113" s="143"/>
      <c r="G113" s="143"/>
      <c r="H113" s="143"/>
      <c r="I113" s="143"/>
      <c r="J113" s="143"/>
      <c r="K113" s="143"/>
      <c r="L113" s="144"/>
      <c r="M113" s="143"/>
      <c r="N113" s="145"/>
      <c r="O113" s="146"/>
      <c r="P113" s="144"/>
      <c r="Q113" s="147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  <c r="AC113" s="148"/>
      <c r="AD113" s="149"/>
      <c r="AE113" s="150"/>
      <c r="AF113" s="151"/>
      <c r="AG113" s="152"/>
      <c r="AH113" s="149"/>
    </row>
    <row r="114" customFormat="false" ht="12" hidden="false" customHeight="false" outlineLevel="0" collapsed="false">
      <c r="A114" s="134"/>
      <c r="B114" s="135"/>
      <c r="C114" s="143"/>
      <c r="D114" s="143"/>
      <c r="E114" s="143"/>
      <c r="F114" s="143"/>
      <c r="G114" s="143"/>
      <c r="H114" s="143"/>
      <c r="I114" s="143"/>
      <c r="J114" s="143"/>
      <c r="K114" s="143"/>
      <c r="L114" s="144"/>
      <c r="M114" s="143"/>
      <c r="N114" s="145"/>
      <c r="O114" s="146"/>
      <c r="P114" s="144"/>
      <c r="Q114" s="147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  <c r="AC114" s="148"/>
      <c r="AD114" s="149"/>
      <c r="AE114" s="150"/>
      <c r="AF114" s="151"/>
      <c r="AG114" s="152"/>
      <c r="AH114" s="149"/>
    </row>
    <row r="115" customFormat="false" ht="12" hidden="false" customHeight="false" outlineLevel="0" collapsed="false">
      <c r="A115" s="134"/>
      <c r="B115" s="135"/>
      <c r="C115" s="143"/>
      <c r="D115" s="143"/>
      <c r="E115" s="143"/>
      <c r="F115" s="143"/>
      <c r="G115" s="143"/>
      <c r="H115" s="143"/>
      <c r="I115" s="143"/>
      <c r="J115" s="143"/>
      <c r="K115" s="143"/>
      <c r="L115" s="144"/>
      <c r="M115" s="143"/>
      <c r="N115" s="145"/>
      <c r="O115" s="146"/>
      <c r="P115" s="144"/>
      <c r="Q115" s="147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  <c r="AC115" s="148"/>
      <c r="AD115" s="149"/>
      <c r="AE115" s="150"/>
      <c r="AF115" s="151"/>
      <c r="AG115" s="152"/>
      <c r="AH115" s="149"/>
    </row>
    <row r="116" customFormat="false" ht="12" hidden="false" customHeight="false" outlineLevel="0" collapsed="false">
      <c r="A116" s="134"/>
      <c r="B116" s="135"/>
      <c r="C116" s="143"/>
      <c r="D116" s="143"/>
      <c r="E116" s="143"/>
      <c r="F116" s="143"/>
      <c r="G116" s="143"/>
      <c r="H116" s="143"/>
      <c r="I116" s="143"/>
      <c r="J116" s="143"/>
      <c r="K116" s="143"/>
      <c r="L116" s="144"/>
      <c r="M116" s="143"/>
      <c r="N116" s="145"/>
      <c r="O116" s="146"/>
      <c r="P116" s="144"/>
      <c r="Q116" s="147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  <c r="AD116" s="149"/>
      <c r="AE116" s="150"/>
      <c r="AF116" s="151"/>
      <c r="AG116" s="152"/>
      <c r="AH116" s="149"/>
    </row>
    <row r="117" customFormat="false" ht="12" hidden="false" customHeight="false" outlineLevel="0" collapsed="false">
      <c r="A117" s="134"/>
      <c r="B117" s="135"/>
      <c r="C117" s="143"/>
      <c r="D117" s="143"/>
      <c r="E117" s="143"/>
      <c r="F117" s="143"/>
      <c r="G117" s="143"/>
      <c r="H117" s="143"/>
      <c r="I117" s="143"/>
      <c r="J117" s="143"/>
      <c r="K117" s="143"/>
      <c r="L117" s="144"/>
      <c r="M117" s="143"/>
      <c r="N117" s="145"/>
      <c r="O117" s="146"/>
      <c r="P117" s="144"/>
      <c r="Q117" s="147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9"/>
      <c r="AE117" s="150"/>
      <c r="AF117" s="151"/>
      <c r="AG117" s="152"/>
      <c r="AH117" s="149"/>
    </row>
    <row r="118" customFormat="false" ht="12" hidden="false" customHeight="false" outlineLevel="0" collapsed="false">
      <c r="A118" s="134"/>
      <c r="B118" s="135"/>
      <c r="C118" s="143"/>
      <c r="D118" s="143"/>
      <c r="E118" s="143"/>
      <c r="F118" s="143"/>
      <c r="G118" s="143"/>
      <c r="H118" s="143"/>
      <c r="I118" s="143"/>
      <c r="J118" s="143"/>
      <c r="K118" s="143"/>
      <c r="L118" s="144"/>
      <c r="M118" s="143"/>
      <c r="N118" s="145"/>
      <c r="O118" s="146"/>
      <c r="P118" s="144"/>
      <c r="Q118" s="147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  <c r="AC118" s="148"/>
      <c r="AD118" s="149"/>
      <c r="AE118" s="150"/>
      <c r="AF118" s="151"/>
      <c r="AG118" s="152"/>
      <c r="AH118" s="149"/>
    </row>
    <row r="119" customFormat="false" ht="12" hidden="false" customHeight="false" outlineLevel="0" collapsed="false">
      <c r="A119" s="134"/>
      <c r="B119" s="135"/>
      <c r="C119" s="143"/>
      <c r="D119" s="143"/>
      <c r="E119" s="143"/>
      <c r="F119" s="143"/>
      <c r="G119" s="143"/>
      <c r="H119" s="143"/>
      <c r="I119" s="143"/>
      <c r="J119" s="143"/>
      <c r="K119" s="143"/>
      <c r="L119" s="144"/>
      <c r="M119" s="143"/>
      <c r="N119" s="145"/>
      <c r="O119" s="146"/>
      <c r="P119" s="144"/>
      <c r="Q119" s="147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  <c r="AC119" s="148"/>
      <c r="AD119" s="149"/>
      <c r="AE119" s="150"/>
      <c r="AF119" s="151"/>
      <c r="AG119" s="152"/>
      <c r="AH119" s="149"/>
    </row>
    <row r="120" customFormat="false" ht="12" hidden="false" customHeight="false" outlineLevel="0" collapsed="false">
      <c r="A120" s="134"/>
      <c r="B120" s="135"/>
      <c r="C120" s="143"/>
      <c r="D120" s="143"/>
      <c r="E120" s="143"/>
      <c r="F120" s="143"/>
      <c r="G120" s="143"/>
      <c r="H120" s="143"/>
      <c r="I120" s="143"/>
      <c r="J120" s="143"/>
      <c r="K120" s="143"/>
      <c r="L120" s="144"/>
      <c r="M120" s="143"/>
      <c r="N120" s="145"/>
      <c r="O120" s="146"/>
      <c r="P120" s="144"/>
      <c r="Q120" s="147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  <c r="AC120" s="148"/>
      <c r="AD120" s="149"/>
      <c r="AE120" s="150"/>
      <c r="AF120" s="151"/>
      <c r="AG120" s="152"/>
      <c r="AH120" s="149"/>
    </row>
    <row r="121" customFormat="false" ht="12" hidden="false" customHeight="false" outlineLevel="0" collapsed="false">
      <c r="A121" s="134"/>
      <c r="B121" s="135"/>
      <c r="C121" s="143"/>
      <c r="D121" s="143"/>
      <c r="E121" s="143"/>
      <c r="F121" s="143"/>
      <c r="G121" s="143"/>
      <c r="H121" s="143"/>
      <c r="I121" s="143"/>
      <c r="J121" s="143"/>
      <c r="K121" s="143"/>
      <c r="L121" s="144"/>
      <c r="M121" s="143"/>
      <c r="N121" s="145"/>
      <c r="O121" s="146"/>
      <c r="P121" s="144"/>
      <c r="Q121" s="147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  <c r="AC121" s="148"/>
      <c r="AD121" s="149"/>
      <c r="AE121" s="150"/>
      <c r="AF121" s="151"/>
      <c r="AG121" s="152"/>
      <c r="AH121" s="149"/>
    </row>
    <row r="122" customFormat="false" ht="12" hidden="false" customHeight="false" outlineLevel="0" collapsed="false">
      <c r="A122" s="134"/>
      <c r="B122" s="135"/>
      <c r="C122" s="143"/>
      <c r="D122" s="143"/>
      <c r="E122" s="143"/>
      <c r="F122" s="143"/>
      <c r="G122" s="143"/>
      <c r="H122" s="143"/>
      <c r="I122" s="143"/>
      <c r="J122" s="143"/>
      <c r="K122" s="143"/>
      <c r="L122" s="144"/>
      <c r="M122" s="143"/>
      <c r="N122" s="145"/>
      <c r="O122" s="146"/>
      <c r="P122" s="144"/>
      <c r="Q122" s="147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  <c r="AC122" s="148"/>
      <c r="AD122" s="149"/>
      <c r="AE122" s="150"/>
      <c r="AF122" s="151"/>
      <c r="AG122" s="152"/>
      <c r="AH122" s="149"/>
    </row>
    <row r="123" customFormat="false" ht="12" hidden="false" customHeight="false" outlineLevel="0" collapsed="false">
      <c r="A123" s="134"/>
      <c r="B123" s="135"/>
      <c r="C123" s="143"/>
      <c r="D123" s="143"/>
      <c r="E123" s="143"/>
      <c r="F123" s="143"/>
      <c r="G123" s="143"/>
      <c r="H123" s="143"/>
      <c r="I123" s="143"/>
      <c r="J123" s="143"/>
      <c r="K123" s="143"/>
      <c r="L123" s="144"/>
      <c r="M123" s="143"/>
      <c r="N123" s="145"/>
      <c r="O123" s="146"/>
      <c r="P123" s="144"/>
      <c r="Q123" s="147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  <c r="AC123" s="148"/>
      <c r="AD123" s="149"/>
      <c r="AE123" s="150"/>
      <c r="AF123" s="151"/>
      <c r="AG123" s="152"/>
      <c r="AH123" s="149"/>
    </row>
    <row r="124" customFormat="false" ht="12" hidden="false" customHeight="false" outlineLevel="0" collapsed="false">
      <c r="A124" s="134"/>
      <c r="B124" s="135"/>
      <c r="C124" s="143"/>
      <c r="D124" s="143"/>
      <c r="E124" s="143"/>
      <c r="F124" s="143"/>
      <c r="G124" s="143"/>
      <c r="H124" s="143"/>
      <c r="I124" s="143"/>
      <c r="J124" s="143"/>
      <c r="K124" s="143"/>
      <c r="L124" s="144"/>
      <c r="M124" s="143"/>
      <c r="N124" s="145"/>
      <c r="O124" s="146"/>
      <c r="P124" s="144"/>
      <c r="Q124" s="147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  <c r="AC124" s="148"/>
      <c r="AD124" s="149"/>
      <c r="AE124" s="150"/>
      <c r="AF124" s="151"/>
      <c r="AG124" s="152"/>
      <c r="AH124" s="149"/>
    </row>
    <row r="125" customFormat="false" ht="12" hidden="false" customHeight="false" outlineLevel="0" collapsed="false">
      <c r="A125" s="134"/>
      <c r="B125" s="135"/>
      <c r="C125" s="143"/>
      <c r="D125" s="143"/>
      <c r="E125" s="143"/>
      <c r="F125" s="143"/>
      <c r="G125" s="143"/>
      <c r="H125" s="143"/>
      <c r="I125" s="143"/>
      <c r="J125" s="143"/>
      <c r="K125" s="143"/>
      <c r="L125" s="144"/>
      <c r="M125" s="143"/>
      <c r="N125" s="145"/>
      <c r="O125" s="146"/>
      <c r="P125" s="144"/>
      <c r="Q125" s="147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  <c r="AC125" s="148"/>
      <c r="AD125" s="149"/>
      <c r="AE125" s="150"/>
      <c r="AF125" s="151"/>
      <c r="AG125" s="152"/>
      <c r="AH125" s="149"/>
    </row>
    <row r="126" customFormat="false" ht="12" hidden="false" customHeight="false" outlineLevel="0" collapsed="false">
      <c r="A126" s="134"/>
      <c r="B126" s="135"/>
      <c r="C126" s="143"/>
      <c r="D126" s="143"/>
      <c r="E126" s="143"/>
      <c r="F126" s="143"/>
      <c r="G126" s="143"/>
      <c r="H126" s="143"/>
      <c r="I126" s="143"/>
      <c r="J126" s="143"/>
      <c r="K126" s="143"/>
      <c r="L126" s="144"/>
      <c r="M126" s="143"/>
      <c r="N126" s="145"/>
      <c r="O126" s="146"/>
      <c r="P126" s="144"/>
      <c r="Q126" s="147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  <c r="AC126" s="148"/>
      <c r="AD126" s="149"/>
      <c r="AE126" s="150"/>
      <c r="AF126" s="151"/>
      <c r="AG126" s="152"/>
      <c r="AH126" s="149"/>
    </row>
    <row r="127" customFormat="false" ht="12" hidden="false" customHeight="false" outlineLevel="0" collapsed="false">
      <c r="A127" s="134"/>
      <c r="B127" s="135"/>
      <c r="C127" s="143"/>
      <c r="D127" s="143"/>
      <c r="E127" s="143"/>
      <c r="F127" s="143"/>
      <c r="G127" s="143"/>
      <c r="H127" s="143"/>
      <c r="I127" s="143"/>
      <c r="J127" s="143"/>
      <c r="K127" s="143"/>
      <c r="L127" s="144"/>
      <c r="M127" s="143"/>
      <c r="N127" s="145"/>
      <c r="O127" s="146"/>
      <c r="P127" s="144"/>
      <c r="Q127" s="147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  <c r="AC127" s="148"/>
      <c r="AD127" s="149"/>
      <c r="AE127" s="150"/>
      <c r="AF127" s="151"/>
      <c r="AG127" s="152"/>
      <c r="AH127" s="149"/>
    </row>
    <row r="128" customFormat="false" ht="12" hidden="false" customHeight="false" outlineLevel="0" collapsed="false">
      <c r="A128" s="134"/>
      <c r="B128" s="135"/>
      <c r="C128" s="143"/>
      <c r="D128" s="143"/>
      <c r="E128" s="143"/>
      <c r="F128" s="143"/>
      <c r="G128" s="143"/>
      <c r="H128" s="143"/>
      <c r="I128" s="143"/>
      <c r="J128" s="143"/>
      <c r="K128" s="143"/>
      <c r="L128" s="144"/>
      <c r="M128" s="143"/>
      <c r="N128" s="145"/>
      <c r="O128" s="146"/>
      <c r="P128" s="144"/>
      <c r="Q128" s="147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  <c r="AC128" s="148"/>
      <c r="AD128" s="149"/>
      <c r="AE128" s="150"/>
      <c r="AF128" s="151"/>
      <c r="AG128" s="152"/>
      <c r="AH128" s="149"/>
    </row>
    <row r="129" customFormat="false" ht="12" hidden="false" customHeight="false" outlineLevel="0" collapsed="false">
      <c r="A129" s="134"/>
      <c r="B129" s="135"/>
      <c r="C129" s="143"/>
      <c r="D129" s="143"/>
      <c r="E129" s="143"/>
      <c r="F129" s="143"/>
      <c r="G129" s="143"/>
      <c r="H129" s="143"/>
      <c r="I129" s="143"/>
      <c r="J129" s="143"/>
      <c r="K129" s="143"/>
      <c r="L129" s="144"/>
      <c r="M129" s="143"/>
      <c r="N129" s="145"/>
      <c r="O129" s="146"/>
      <c r="P129" s="144"/>
      <c r="Q129" s="147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  <c r="AC129" s="148"/>
      <c r="AD129" s="149"/>
      <c r="AE129" s="150"/>
      <c r="AF129" s="151"/>
      <c r="AG129" s="152"/>
      <c r="AH129" s="149"/>
    </row>
    <row r="130" customFormat="false" ht="12" hidden="false" customHeight="false" outlineLevel="0" collapsed="false">
      <c r="A130" s="134"/>
      <c r="B130" s="135"/>
      <c r="C130" s="143"/>
      <c r="D130" s="143"/>
      <c r="E130" s="143"/>
      <c r="F130" s="143"/>
      <c r="G130" s="143"/>
      <c r="H130" s="143"/>
      <c r="I130" s="143"/>
      <c r="J130" s="143"/>
      <c r="K130" s="143"/>
      <c r="L130" s="144"/>
      <c r="M130" s="143"/>
      <c r="N130" s="145"/>
      <c r="O130" s="146"/>
      <c r="P130" s="144"/>
      <c r="Q130" s="147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  <c r="AC130" s="148"/>
      <c r="AD130" s="149"/>
      <c r="AE130" s="150"/>
      <c r="AF130" s="151"/>
      <c r="AG130" s="152"/>
      <c r="AH130" s="149"/>
    </row>
    <row r="131" customFormat="false" ht="12" hidden="false" customHeight="false" outlineLevel="0" collapsed="false">
      <c r="A131" s="134"/>
      <c r="B131" s="135"/>
      <c r="C131" s="143"/>
      <c r="D131" s="143"/>
      <c r="E131" s="143"/>
      <c r="F131" s="143"/>
      <c r="G131" s="143"/>
      <c r="H131" s="143"/>
      <c r="I131" s="143"/>
      <c r="J131" s="143"/>
      <c r="K131" s="143"/>
      <c r="L131" s="144"/>
      <c r="M131" s="143"/>
      <c r="N131" s="145"/>
      <c r="O131" s="146"/>
      <c r="P131" s="144"/>
      <c r="Q131" s="147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9"/>
      <c r="AE131" s="150"/>
      <c r="AF131" s="151"/>
      <c r="AG131" s="152"/>
      <c r="AH131" s="149"/>
    </row>
    <row r="132" customFormat="false" ht="12" hidden="false" customHeight="false" outlineLevel="0" collapsed="false">
      <c r="A132" s="134"/>
      <c r="B132" s="135"/>
      <c r="C132" s="143"/>
      <c r="D132" s="143"/>
      <c r="E132" s="143"/>
      <c r="F132" s="143"/>
      <c r="G132" s="143"/>
      <c r="H132" s="143"/>
      <c r="I132" s="143"/>
      <c r="J132" s="143"/>
      <c r="K132" s="143"/>
      <c r="L132" s="144"/>
      <c r="M132" s="143"/>
      <c r="N132" s="145"/>
      <c r="O132" s="146"/>
      <c r="P132" s="144"/>
      <c r="Q132" s="147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  <c r="AC132" s="148"/>
      <c r="AD132" s="149"/>
      <c r="AE132" s="150"/>
      <c r="AF132" s="151"/>
      <c r="AG132" s="152"/>
      <c r="AH132" s="149"/>
    </row>
    <row r="133" customFormat="false" ht="12" hidden="false" customHeight="false" outlineLevel="0" collapsed="false">
      <c r="A133" s="134"/>
      <c r="B133" s="135"/>
      <c r="C133" s="143"/>
      <c r="D133" s="143"/>
      <c r="E133" s="143"/>
      <c r="F133" s="143"/>
      <c r="G133" s="143"/>
      <c r="H133" s="143"/>
      <c r="I133" s="143"/>
      <c r="J133" s="143"/>
      <c r="K133" s="143"/>
      <c r="L133" s="144"/>
      <c r="M133" s="143"/>
      <c r="N133" s="145"/>
      <c r="O133" s="146"/>
      <c r="P133" s="144"/>
      <c r="Q133" s="147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  <c r="AC133" s="148"/>
      <c r="AD133" s="149"/>
      <c r="AE133" s="150"/>
      <c r="AF133" s="151"/>
      <c r="AG133" s="152"/>
      <c r="AH133" s="149"/>
    </row>
    <row r="134" customFormat="false" ht="12" hidden="false" customHeight="false" outlineLevel="0" collapsed="false">
      <c r="A134" s="134"/>
      <c r="B134" s="135"/>
      <c r="C134" s="143"/>
      <c r="D134" s="143"/>
      <c r="E134" s="143"/>
      <c r="F134" s="143"/>
      <c r="G134" s="143"/>
      <c r="H134" s="143"/>
      <c r="I134" s="143"/>
      <c r="J134" s="143"/>
      <c r="K134" s="143"/>
      <c r="L134" s="144"/>
      <c r="M134" s="143"/>
      <c r="N134" s="145"/>
      <c r="O134" s="146"/>
      <c r="P134" s="144"/>
      <c r="Q134" s="147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  <c r="AC134" s="148"/>
      <c r="AD134" s="149"/>
      <c r="AE134" s="150"/>
      <c r="AF134" s="151"/>
      <c r="AG134" s="152"/>
      <c r="AH134" s="149"/>
    </row>
    <row r="135" customFormat="false" ht="12" hidden="false" customHeight="false" outlineLevel="0" collapsed="false">
      <c r="A135" s="134"/>
      <c r="B135" s="135"/>
      <c r="C135" s="143"/>
      <c r="D135" s="143"/>
      <c r="E135" s="143"/>
      <c r="F135" s="143"/>
      <c r="G135" s="143"/>
      <c r="H135" s="143"/>
      <c r="I135" s="143"/>
      <c r="J135" s="143"/>
      <c r="K135" s="143"/>
      <c r="L135" s="144"/>
      <c r="M135" s="143"/>
      <c r="N135" s="145"/>
      <c r="O135" s="146"/>
      <c r="P135" s="144"/>
      <c r="Q135" s="147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  <c r="AC135" s="148"/>
      <c r="AD135" s="149"/>
      <c r="AE135" s="150"/>
      <c r="AF135" s="151"/>
      <c r="AG135" s="152"/>
      <c r="AH135" s="149"/>
    </row>
    <row r="136" customFormat="false" ht="12" hidden="false" customHeight="false" outlineLevel="0" collapsed="false">
      <c r="A136" s="134"/>
      <c r="B136" s="135"/>
      <c r="C136" s="143"/>
      <c r="D136" s="143"/>
      <c r="E136" s="143"/>
      <c r="F136" s="143"/>
      <c r="G136" s="143"/>
      <c r="H136" s="143"/>
      <c r="I136" s="143"/>
      <c r="J136" s="143"/>
      <c r="K136" s="143"/>
      <c r="L136" s="144"/>
      <c r="M136" s="143"/>
      <c r="N136" s="145"/>
      <c r="O136" s="146"/>
      <c r="P136" s="144"/>
      <c r="Q136" s="147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  <c r="AC136" s="148"/>
      <c r="AD136" s="149"/>
      <c r="AE136" s="150"/>
      <c r="AF136" s="151"/>
      <c r="AG136" s="152"/>
      <c r="AH136" s="149"/>
    </row>
    <row r="137" customFormat="false" ht="12" hidden="false" customHeight="false" outlineLevel="0" collapsed="false">
      <c r="A137" s="134"/>
      <c r="B137" s="135"/>
      <c r="C137" s="143"/>
      <c r="D137" s="143"/>
      <c r="E137" s="143"/>
      <c r="F137" s="143"/>
      <c r="G137" s="143"/>
      <c r="H137" s="143"/>
      <c r="I137" s="143"/>
      <c r="J137" s="143"/>
      <c r="K137" s="143"/>
      <c r="L137" s="144"/>
      <c r="M137" s="143"/>
      <c r="N137" s="145"/>
      <c r="O137" s="146"/>
      <c r="P137" s="144"/>
      <c r="Q137" s="147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  <c r="AC137" s="148"/>
      <c r="AD137" s="149"/>
      <c r="AE137" s="150"/>
      <c r="AF137" s="151"/>
      <c r="AG137" s="152"/>
      <c r="AH137" s="149"/>
    </row>
    <row r="138" customFormat="false" ht="12" hidden="false" customHeight="false" outlineLevel="0" collapsed="false">
      <c r="A138" s="134"/>
      <c r="B138" s="135"/>
      <c r="C138" s="143"/>
      <c r="D138" s="143"/>
      <c r="E138" s="143"/>
      <c r="F138" s="143"/>
      <c r="G138" s="143"/>
      <c r="H138" s="143"/>
      <c r="I138" s="143"/>
      <c r="J138" s="143"/>
      <c r="K138" s="143"/>
      <c r="L138" s="144"/>
      <c r="M138" s="143"/>
      <c r="N138" s="145"/>
      <c r="O138" s="146"/>
      <c r="P138" s="144"/>
      <c r="Q138" s="147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  <c r="AC138" s="148"/>
      <c r="AD138" s="149"/>
      <c r="AE138" s="150"/>
      <c r="AF138" s="151"/>
      <c r="AG138" s="152"/>
      <c r="AH138" s="149"/>
    </row>
    <row r="139" customFormat="false" ht="12" hidden="false" customHeight="false" outlineLevel="0" collapsed="false">
      <c r="A139" s="134"/>
      <c r="B139" s="135"/>
      <c r="C139" s="143"/>
      <c r="D139" s="143"/>
      <c r="E139" s="143"/>
      <c r="F139" s="143"/>
      <c r="G139" s="143"/>
      <c r="H139" s="143"/>
      <c r="I139" s="143"/>
      <c r="J139" s="143"/>
      <c r="K139" s="143"/>
      <c r="L139" s="144"/>
      <c r="M139" s="143"/>
      <c r="N139" s="145"/>
      <c r="O139" s="146"/>
      <c r="P139" s="144"/>
      <c r="Q139" s="147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9"/>
      <c r="AE139" s="150"/>
      <c r="AF139" s="151"/>
      <c r="AG139" s="152"/>
      <c r="AH139" s="149"/>
    </row>
    <row r="140" customFormat="false" ht="12" hidden="false" customHeight="false" outlineLevel="0" collapsed="false">
      <c r="A140" s="134"/>
      <c r="B140" s="135"/>
      <c r="C140" s="143"/>
      <c r="D140" s="143"/>
      <c r="E140" s="143"/>
      <c r="F140" s="143"/>
      <c r="G140" s="143"/>
      <c r="H140" s="143"/>
      <c r="I140" s="143"/>
      <c r="J140" s="143"/>
      <c r="K140" s="143"/>
      <c r="L140" s="144"/>
      <c r="M140" s="143"/>
      <c r="N140" s="145"/>
      <c r="O140" s="146"/>
      <c r="P140" s="144"/>
      <c r="Q140" s="147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9"/>
      <c r="AE140" s="150"/>
      <c r="AF140" s="151"/>
      <c r="AG140" s="152"/>
      <c r="AH140" s="149"/>
    </row>
    <row r="141" customFormat="false" ht="12" hidden="false" customHeight="false" outlineLevel="0" collapsed="false">
      <c r="A141" s="134"/>
      <c r="B141" s="135"/>
      <c r="C141" s="143"/>
      <c r="D141" s="143"/>
      <c r="E141" s="143"/>
      <c r="F141" s="143"/>
      <c r="G141" s="143"/>
      <c r="H141" s="143"/>
      <c r="I141" s="143"/>
      <c r="J141" s="143"/>
      <c r="K141" s="143"/>
      <c r="L141" s="144"/>
      <c r="M141" s="143"/>
      <c r="N141" s="145"/>
      <c r="O141" s="146"/>
      <c r="P141" s="144"/>
      <c r="Q141" s="147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9"/>
      <c r="AE141" s="150"/>
      <c r="AF141" s="151"/>
      <c r="AG141" s="152"/>
      <c r="AH141" s="149"/>
    </row>
    <row r="142" customFormat="false" ht="12" hidden="false" customHeight="false" outlineLevel="0" collapsed="false">
      <c r="A142" s="134"/>
      <c r="B142" s="135"/>
      <c r="C142" s="143"/>
      <c r="D142" s="143"/>
      <c r="E142" s="143"/>
      <c r="F142" s="143"/>
      <c r="G142" s="143"/>
      <c r="H142" s="143"/>
      <c r="I142" s="143"/>
      <c r="J142" s="143"/>
      <c r="K142" s="143"/>
      <c r="L142" s="144"/>
      <c r="M142" s="143"/>
      <c r="N142" s="145"/>
      <c r="O142" s="146"/>
      <c r="P142" s="144"/>
      <c r="Q142" s="147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9"/>
      <c r="AE142" s="150"/>
      <c r="AF142" s="151"/>
      <c r="AG142" s="152"/>
      <c r="AH142" s="149"/>
    </row>
    <row r="143" customFormat="false" ht="12" hidden="false" customHeight="false" outlineLevel="0" collapsed="false">
      <c r="A143" s="134"/>
      <c r="B143" s="135"/>
      <c r="C143" s="143"/>
      <c r="D143" s="143"/>
      <c r="E143" s="143"/>
      <c r="F143" s="143"/>
      <c r="G143" s="143"/>
      <c r="H143" s="143"/>
      <c r="I143" s="143"/>
      <c r="J143" s="143"/>
      <c r="K143" s="143"/>
      <c r="L143" s="144"/>
      <c r="M143" s="143"/>
      <c r="N143" s="145"/>
      <c r="O143" s="146"/>
      <c r="P143" s="144"/>
      <c r="Q143" s="147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9"/>
      <c r="AE143" s="150"/>
      <c r="AF143" s="151"/>
      <c r="AG143" s="152"/>
      <c r="AH143" s="149"/>
    </row>
    <row r="144" customFormat="false" ht="12" hidden="false" customHeight="false" outlineLevel="0" collapsed="false">
      <c r="A144" s="134"/>
      <c r="B144" s="135"/>
      <c r="C144" s="143"/>
      <c r="D144" s="143"/>
      <c r="E144" s="143"/>
      <c r="F144" s="143"/>
      <c r="G144" s="143"/>
      <c r="H144" s="143"/>
      <c r="I144" s="143"/>
      <c r="J144" s="143"/>
      <c r="K144" s="143"/>
      <c r="L144" s="144"/>
      <c r="M144" s="143"/>
      <c r="N144" s="145"/>
      <c r="O144" s="146"/>
      <c r="P144" s="144"/>
      <c r="Q144" s="147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9"/>
      <c r="AE144" s="150"/>
      <c r="AF144" s="151"/>
      <c r="AG144" s="152"/>
      <c r="AH144" s="149"/>
    </row>
    <row r="145" customFormat="false" ht="12" hidden="false" customHeight="false" outlineLevel="0" collapsed="false">
      <c r="A145" s="134"/>
      <c r="B145" s="135"/>
      <c r="C145" s="143"/>
      <c r="D145" s="143"/>
      <c r="E145" s="143"/>
      <c r="F145" s="143"/>
      <c r="G145" s="143"/>
      <c r="H145" s="143"/>
      <c r="I145" s="143"/>
      <c r="J145" s="143"/>
      <c r="K145" s="143"/>
      <c r="L145" s="144"/>
      <c r="M145" s="143"/>
      <c r="N145" s="145"/>
      <c r="O145" s="146"/>
      <c r="P145" s="144"/>
      <c r="Q145" s="147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9"/>
      <c r="AE145" s="150"/>
      <c r="AF145" s="151"/>
      <c r="AG145" s="152"/>
      <c r="AH145" s="149"/>
    </row>
    <row r="146" customFormat="false" ht="12" hidden="false" customHeight="false" outlineLevel="0" collapsed="false">
      <c r="A146" s="134"/>
      <c r="B146" s="135"/>
      <c r="C146" s="143"/>
      <c r="D146" s="143"/>
      <c r="E146" s="143"/>
      <c r="F146" s="143"/>
      <c r="G146" s="143"/>
      <c r="H146" s="143"/>
      <c r="I146" s="143"/>
      <c r="J146" s="143"/>
      <c r="K146" s="143"/>
      <c r="L146" s="144"/>
      <c r="M146" s="143"/>
      <c r="N146" s="145"/>
      <c r="O146" s="146"/>
      <c r="P146" s="144"/>
      <c r="Q146" s="147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9"/>
      <c r="AE146" s="150"/>
      <c r="AF146" s="151"/>
      <c r="AG146" s="152"/>
      <c r="AH146" s="149"/>
    </row>
    <row r="147" customFormat="false" ht="12" hidden="false" customHeight="false" outlineLevel="0" collapsed="false">
      <c r="A147" s="134"/>
      <c r="B147" s="135"/>
      <c r="C147" s="143"/>
      <c r="D147" s="143"/>
      <c r="E147" s="143"/>
      <c r="F147" s="143"/>
      <c r="G147" s="143"/>
      <c r="H147" s="143"/>
      <c r="I147" s="143"/>
      <c r="J147" s="143"/>
      <c r="K147" s="143"/>
      <c r="L147" s="144"/>
      <c r="M147" s="143"/>
      <c r="N147" s="145"/>
      <c r="O147" s="146"/>
      <c r="P147" s="144"/>
      <c r="Q147" s="147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9"/>
      <c r="AE147" s="150"/>
      <c r="AF147" s="151"/>
      <c r="AG147" s="152"/>
      <c r="AH147" s="149"/>
    </row>
    <row r="148" customFormat="false" ht="12" hidden="false" customHeight="false" outlineLevel="0" collapsed="false">
      <c r="A148" s="134"/>
      <c r="B148" s="135"/>
      <c r="C148" s="143"/>
      <c r="D148" s="143"/>
      <c r="E148" s="143"/>
      <c r="F148" s="143"/>
      <c r="G148" s="143"/>
      <c r="H148" s="143"/>
      <c r="I148" s="143"/>
      <c r="J148" s="143"/>
      <c r="K148" s="143"/>
      <c r="L148" s="144"/>
      <c r="M148" s="143"/>
      <c r="N148" s="145"/>
      <c r="O148" s="146"/>
      <c r="P148" s="144"/>
      <c r="Q148" s="147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9"/>
      <c r="AE148" s="150"/>
      <c r="AF148" s="151"/>
      <c r="AG148" s="152"/>
      <c r="AH148" s="149"/>
    </row>
    <row r="149" customFormat="false" ht="12" hidden="false" customHeight="false" outlineLevel="0" collapsed="false">
      <c r="A149" s="134"/>
      <c r="B149" s="135"/>
      <c r="C149" s="143"/>
      <c r="D149" s="143"/>
      <c r="E149" s="143"/>
      <c r="F149" s="143"/>
      <c r="G149" s="143"/>
      <c r="H149" s="143"/>
      <c r="I149" s="143"/>
      <c r="J149" s="143"/>
      <c r="K149" s="143"/>
      <c r="L149" s="144"/>
      <c r="M149" s="143"/>
      <c r="N149" s="145"/>
      <c r="O149" s="146"/>
      <c r="P149" s="144"/>
      <c r="Q149" s="147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9"/>
      <c r="AE149" s="150"/>
      <c r="AF149" s="151"/>
      <c r="AG149" s="152"/>
      <c r="AH149" s="149"/>
    </row>
    <row r="150" customFormat="false" ht="12" hidden="false" customHeight="false" outlineLevel="0" collapsed="false">
      <c r="A150" s="134"/>
      <c r="B150" s="135"/>
      <c r="C150" s="143"/>
      <c r="D150" s="143"/>
      <c r="E150" s="143"/>
      <c r="F150" s="143"/>
      <c r="G150" s="143"/>
      <c r="H150" s="143"/>
      <c r="I150" s="143"/>
      <c r="J150" s="143"/>
      <c r="K150" s="143"/>
      <c r="L150" s="144"/>
      <c r="M150" s="143"/>
      <c r="N150" s="145"/>
      <c r="O150" s="146"/>
      <c r="P150" s="144"/>
      <c r="Q150" s="147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9"/>
      <c r="AE150" s="150"/>
      <c r="AF150" s="151"/>
      <c r="AG150" s="152"/>
      <c r="AH150" s="149"/>
    </row>
    <row r="151" customFormat="false" ht="12" hidden="false" customHeight="false" outlineLevel="0" collapsed="false">
      <c r="A151" s="134"/>
      <c r="B151" s="135"/>
      <c r="C151" s="143"/>
      <c r="D151" s="143"/>
      <c r="E151" s="143"/>
      <c r="F151" s="143"/>
      <c r="G151" s="143"/>
      <c r="H151" s="143"/>
      <c r="I151" s="143"/>
      <c r="J151" s="143"/>
      <c r="K151" s="143"/>
      <c r="L151" s="144"/>
      <c r="M151" s="143"/>
      <c r="N151" s="145"/>
      <c r="O151" s="146"/>
      <c r="P151" s="144"/>
      <c r="Q151" s="147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9"/>
      <c r="AE151" s="150"/>
      <c r="AF151" s="151"/>
      <c r="AG151" s="152"/>
      <c r="AH151" s="149"/>
    </row>
    <row r="152" customFormat="false" ht="12" hidden="false" customHeight="false" outlineLevel="0" collapsed="false">
      <c r="A152" s="134"/>
      <c r="B152" s="135"/>
      <c r="C152" s="143"/>
      <c r="D152" s="143"/>
      <c r="E152" s="143"/>
      <c r="F152" s="143"/>
      <c r="G152" s="143"/>
      <c r="H152" s="143"/>
      <c r="I152" s="143"/>
      <c r="J152" s="143"/>
      <c r="K152" s="143"/>
      <c r="L152" s="144"/>
      <c r="M152" s="143"/>
      <c r="N152" s="145"/>
      <c r="O152" s="146"/>
      <c r="P152" s="144"/>
      <c r="Q152" s="147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9"/>
      <c r="AE152" s="150"/>
      <c r="AF152" s="151"/>
      <c r="AG152" s="152"/>
      <c r="AH152" s="149"/>
    </row>
    <row r="153" customFormat="false" ht="12" hidden="false" customHeight="false" outlineLevel="0" collapsed="false">
      <c r="A153" s="134"/>
      <c r="B153" s="135"/>
      <c r="C153" s="143"/>
      <c r="D153" s="143"/>
      <c r="E153" s="143"/>
      <c r="F153" s="143"/>
      <c r="G153" s="143"/>
      <c r="H153" s="143"/>
      <c r="I153" s="143"/>
      <c r="J153" s="143"/>
      <c r="K153" s="143"/>
      <c r="L153" s="144"/>
      <c r="M153" s="143"/>
      <c r="N153" s="145"/>
      <c r="O153" s="146"/>
      <c r="P153" s="144"/>
      <c r="Q153" s="147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9"/>
      <c r="AE153" s="150"/>
      <c r="AF153" s="151"/>
      <c r="AG153" s="152"/>
      <c r="AH153" s="149"/>
    </row>
    <row r="154" customFormat="false" ht="12" hidden="false" customHeight="false" outlineLevel="0" collapsed="false">
      <c r="A154" s="134"/>
      <c r="B154" s="135"/>
      <c r="C154" s="143"/>
      <c r="D154" s="143"/>
      <c r="E154" s="143"/>
      <c r="F154" s="143"/>
      <c r="G154" s="143"/>
      <c r="H154" s="143"/>
      <c r="I154" s="143"/>
      <c r="J154" s="143"/>
      <c r="K154" s="143"/>
      <c r="L154" s="144"/>
      <c r="M154" s="143"/>
      <c r="N154" s="145"/>
      <c r="O154" s="146"/>
      <c r="P154" s="144"/>
      <c r="Q154" s="147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9"/>
      <c r="AE154" s="150"/>
      <c r="AF154" s="151"/>
      <c r="AG154" s="152"/>
      <c r="AH154" s="149"/>
    </row>
    <row r="155" customFormat="false" ht="12" hidden="false" customHeight="false" outlineLevel="0" collapsed="false">
      <c r="A155" s="134"/>
      <c r="B155" s="135"/>
      <c r="C155" s="143"/>
      <c r="D155" s="143"/>
      <c r="E155" s="143"/>
      <c r="F155" s="143"/>
      <c r="G155" s="143"/>
      <c r="H155" s="143"/>
      <c r="I155" s="143"/>
      <c r="J155" s="143"/>
      <c r="K155" s="143"/>
      <c r="L155" s="144"/>
      <c r="M155" s="143"/>
      <c r="N155" s="145"/>
      <c r="O155" s="146"/>
      <c r="P155" s="144"/>
      <c r="Q155" s="147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9"/>
      <c r="AE155" s="150"/>
      <c r="AF155" s="151"/>
      <c r="AG155" s="152"/>
      <c r="AH155" s="149"/>
    </row>
    <row r="156" customFormat="false" ht="12" hidden="false" customHeight="false" outlineLevel="0" collapsed="false">
      <c r="A156" s="134"/>
      <c r="B156" s="135"/>
      <c r="C156" s="143"/>
      <c r="D156" s="143"/>
      <c r="E156" s="143"/>
      <c r="F156" s="143"/>
      <c r="G156" s="143"/>
      <c r="H156" s="143"/>
      <c r="I156" s="143"/>
      <c r="J156" s="143"/>
      <c r="K156" s="143"/>
      <c r="L156" s="144"/>
      <c r="M156" s="143"/>
      <c r="N156" s="145"/>
      <c r="O156" s="146"/>
      <c r="P156" s="144"/>
      <c r="Q156" s="147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9"/>
      <c r="AE156" s="150"/>
      <c r="AF156" s="151"/>
      <c r="AG156" s="152"/>
      <c r="AH156" s="149"/>
    </row>
    <row r="157" customFormat="false" ht="12" hidden="false" customHeight="false" outlineLevel="0" collapsed="false">
      <c r="A157" s="134"/>
      <c r="B157" s="135"/>
      <c r="C157" s="143"/>
      <c r="D157" s="143"/>
      <c r="E157" s="143"/>
      <c r="F157" s="143"/>
      <c r="G157" s="143"/>
      <c r="H157" s="143"/>
      <c r="I157" s="143"/>
      <c r="J157" s="143"/>
      <c r="K157" s="143"/>
      <c r="L157" s="144"/>
      <c r="M157" s="143"/>
      <c r="N157" s="145"/>
      <c r="O157" s="146"/>
      <c r="P157" s="144"/>
      <c r="Q157" s="147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9"/>
      <c r="AE157" s="150"/>
      <c r="AF157" s="151"/>
      <c r="AG157" s="152"/>
      <c r="AH157" s="149"/>
    </row>
    <row r="158" customFormat="false" ht="12" hidden="false" customHeight="false" outlineLevel="0" collapsed="false">
      <c r="A158" s="134"/>
      <c r="B158" s="135"/>
      <c r="C158" s="143"/>
      <c r="D158" s="143"/>
      <c r="E158" s="143"/>
      <c r="F158" s="143"/>
      <c r="G158" s="143"/>
      <c r="H158" s="143"/>
      <c r="I158" s="143"/>
      <c r="J158" s="143"/>
      <c r="K158" s="143"/>
      <c r="L158" s="144"/>
      <c r="M158" s="143"/>
      <c r="N158" s="145"/>
      <c r="O158" s="146"/>
      <c r="P158" s="144"/>
      <c r="Q158" s="147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  <c r="AC158" s="148"/>
      <c r="AD158" s="149"/>
      <c r="AE158" s="150"/>
      <c r="AF158" s="151"/>
      <c r="AG158" s="152"/>
      <c r="AH158" s="149"/>
    </row>
    <row r="159" customFormat="false" ht="12" hidden="false" customHeight="false" outlineLevel="0" collapsed="false">
      <c r="A159" s="134"/>
      <c r="B159" s="135"/>
      <c r="C159" s="143"/>
      <c r="D159" s="143"/>
      <c r="E159" s="143"/>
      <c r="F159" s="143"/>
      <c r="G159" s="143"/>
      <c r="H159" s="143"/>
      <c r="I159" s="143"/>
      <c r="J159" s="143"/>
      <c r="K159" s="143"/>
      <c r="L159" s="144"/>
      <c r="M159" s="143"/>
      <c r="N159" s="145"/>
      <c r="O159" s="146"/>
      <c r="P159" s="144"/>
      <c r="Q159" s="147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9"/>
      <c r="AE159" s="150"/>
      <c r="AF159" s="151"/>
      <c r="AG159" s="152"/>
      <c r="AH159" s="149"/>
    </row>
    <row r="160" customFormat="false" ht="12" hidden="false" customHeight="false" outlineLevel="0" collapsed="false">
      <c r="A160" s="134"/>
      <c r="B160" s="135"/>
      <c r="C160" s="143"/>
      <c r="D160" s="143"/>
      <c r="E160" s="143"/>
      <c r="F160" s="143"/>
      <c r="G160" s="143"/>
      <c r="H160" s="143"/>
      <c r="I160" s="143"/>
      <c r="J160" s="143"/>
      <c r="K160" s="143"/>
      <c r="L160" s="144"/>
      <c r="M160" s="143"/>
      <c r="N160" s="145"/>
      <c r="O160" s="146"/>
      <c r="P160" s="144"/>
      <c r="Q160" s="147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  <c r="AC160" s="148"/>
      <c r="AD160" s="149"/>
      <c r="AE160" s="150"/>
      <c r="AF160" s="151"/>
      <c r="AG160" s="152"/>
      <c r="AH160" s="149"/>
    </row>
    <row r="161" customFormat="false" ht="12" hidden="false" customHeight="false" outlineLevel="0" collapsed="false">
      <c r="A161" s="134"/>
      <c r="B161" s="135"/>
      <c r="C161" s="143"/>
      <c r="D161" s="143"/>
      <c r="E161" s="143"/>
      <c r="F161" s="143"/>
      <c r="G161" s="143"/>
      <c r="H161" s="143"/>
      <c r="I161" s="143"/>
      <c r="J161" s="143"/>
      <c r="K161" s="143"/>
      <c r="L161" s="144"/>
      <c r="M161" s="143"/>
      <c r="N161" s="145"/>
      <c r="O161" s="146"/>
      <c r="P161" s="144"/>
      <c r="Q161" s="147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  <c r="AC161" s="148"/>
      <c r="AD161" s="149"/>
      <c r="AE161" s="150"/>
      <c r="AF161" s="151"/>
      <c r="AG161" s="152"/>
      <c r="AH161" s="149"/>
    </row>
    <row r="162" customFormat="false" ht="12" hidden="false" customHeight="false" outlineLevel="0" collapsed="false">
      <c r="A162" s="134"/>
      <c r="B162" s="135"/>
      <c r="C162" s="143"/>
      <c r="D162" s="143"/>
      <c r="E162" s="143"/>
      <c r="F162" s="143"/>
      <c r="G162" s="143"/>
      <c r="H162" s="143"/>
      <c r="I162" s="143"/>
      <c r="J162" s="143"/>
      <c r="K162" s="143"/>
      <c r="L162" s="144"/>
      <c r="M162" s="143"/>
      <c r="N162" s="145"/>
      <c r="O162" s="146"/>
      <c r="P162" s="144"/>
      <c r="Q162" s="147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  <c r="AC162" s="148"/>
      <c r="AD162" s="149"/>
      <c r="AE162" s="150"/>
      <c r="AF162" s="151"/>
      <c r="AG162" s="152"/>
      <c r="AH162" s="149"/>
    </row>
    <row r="163" customFormat="false" ht="12" hidden="false" customHeight="false" outlineLevel="0" collapsed="false">
      <c r="A163" s="134"/>
      <c r="B163" s="135"/>
      <c r="C163" s="143"/>
      <c r="D163" s="143"/>
      <c r="E163" s="143"/>
      <c r="F163" s="143"/>
      <c r="G163" s="143"/>
      <c r="H163" s="143"/>
      <c r="I163" s="143"/>
      <c r="J163" s="143"/>
      <c r="K163" s="143"/>
      <c r="L163" s="144"/>
      <c r="M163" s="143"/>
      <c r="N163" s="145"/>
      <c r="O163" s="146"/>
      <c r="P163" s="144"/>
      <c r="Q163" s="147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  <c r="AC163" s="148"/>
      <c r="AD163" s="149"/>
      <c r="AE163" s="150"/>
      <c r="AF163" s="151"/>
      <c r="AG163" s="152"/>
      <c r="AH163" s="149"/>
    </row>
    <row r="164" customFormat="false" ht="12" hidden="false" customHeight="false" outlineLevel="0" collapsed="false">
      <c r="A164" s="134"/>
      <c r="B164" s="135"/>
      <c r="C164" s="143"/>
      <c r="D164" s="143"/>
      <c r="E164" s="143"/>
      <c r="F164" s="143"/>
      <c r="G164" s="143"/>
      <c r="H164" s="143"/>
      <c r="I164" s="143"/>
      <c r="J164" s="143"/>
      <c r="K164" s="143"/>
      <c r="L164" s="144"/>
      <c r="M164" s="143"/>
      <c r="N164" s="145"/>
      <c r="O164" s="146"/>
      <c r="P164" s="144"/>
      <c r="Q164" s="147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  <c r="AC164" s="148"/>
      <c r="AD164" s="149"/>
      <c r="AE164" s="150"/>
      <c r="AF164" s="151"/>
      <c r="AG164" s="152"/>
      <c r="AH164" s="149"/>
    </row>
    <row r="165" customFormat="false" ht="12" hidden="false" customHeight="false" outlineLevel="0" collapsed="false">
      <c r="A165" s="134"/>
      <c r="B165" s="135"/>
      <c r="C165" s="143"/>
      <c r="D165" s="143"/>
      <c r="E165" s="143"/>
      <c r="F165" s="143"/>
      <c r="G165" s="143"/>
      <c r="H165" s="143"/>
      <c r="I165" s="143"/>
      <c r="J165" s="143"/>
      <c r="K165" s="143"/>
      <c r="L165" s="144"/>
      <c r="M165" s="143"/>
      <c r="N165" s="145"/>
      <c r="O165" s="146"/>
      <c r="P165" s="144"/>
      <c r="Q165" s="147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  <c r="AC165" s="148"/>
      <c r="AD165" s="149"/>
      <c r="AE165" s="150"/>
      <c r="AF165" s="151"/>
      <c r="AG165" s="152"/>
      <c r="AH165" s="149"/>
    </row>
    <row r="166" customFormat="false" ht="12" hidden="false" customHeight="false" outlineLevel="0" collapsed="false">
      <c r="A166" s="134"/>
      <c r="B166" s="135"/>
      <c r="C166" s="143"/>
      <c r="D166" s="143"/>
      <c r="E166" s="143"/>
      <c r="F166" s="143"/>
      <c r="G166" s="143"/>
      <c r="H166" s="143"/>
      <c r="I166" s="143"/>
      <c r="J166" s="143"/>
      <c r="K166" s="143"/>
      <c r="L166" s="144"/>
      <c r="M166" s="143"/>
      <c r="N166" s="145"/>
      <c r="O166" s="146"/>
      <c r="P166" s="144"/>
      <c r="Q166" s="147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  <c r="AC166" s="148"/>
      <c r="AD166" s="149"/>
      <c r="AE166" s="150"/>
      <c r="AF166" s="151"/>
      <c r="AG166" s="152"/>
      <c r="AH166" s="149"/>
    </row>
    <row r="167" customFormat="false" ht="12" hidden="false" customHeight="false" outlineLevel="0" collapsed="false">
      <c r="A167" s="134"/>
      <c r="B167" s="135"/>
      <c r="C167" s="143"/>
      <c r="D167" s="143"/>
      <c r="E167" s="143"/>
      <c r="F167" s="143"/>
      <c r="G167" s="143"/>
      <c r="H167" s="143"/>
      <c r="I167" s="143"/>
      <c r="J167" s="143"/>
      <c r="K167" s="143"/>
      <c r="L167" s="144"/>
      <c r="M167" s="143"/>
      <c r="N167" s="145"/>
      <c r="O167" s="146"/>
      <c r="P167" s="144"/>
      <c r="Q167" s="147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  <c r="AC167" s="148"/>
      <c r="AD167" s="149"/>
      <c r="AE167" s="150"/>
      <c r="AF167" s="151"/>
      <c r="AG167" s="152"/>
      <c r="AH167" s="149"/>
    </row>
    <row r="168" customFormat="false" ht="12" hidden="false" customHeight="false" outlineLevel="0" collapsed="false">
      <c r="A168" s="134"/>
      <c r="B168" s="135"/>
      <c r="C168" s="143"/>
      <c r="D168" s="143"/>
      <c r="E168" s="143"/>
      <c r="F168" s="143"/>
      <c r="G168" s="143"/>
      <c r="H168" s="143"/>
      <c r="I168" s="143"/>
      <c r="J168" s="143"/>
      <c r="K168" s="143"/>
      <c r="L168" s="144"/>
      <c r="M168" s="143"/>
      <c r="N168" s="145"/>
      <c r="O168" s="146"/>
      <c r="P168" s="144"/>
      <c r="Q168" s="147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  <c r="AC168" s="148"/>
      <c r="AD168" s="149"/>
      <c r="AE168" s="150"/>
      <c r="AF168" s="151"/>
      <c r="AG168" s="152"/>
      <c r="AH168" s="149"/>
    </row>
    <row r="169" customFormat="false" ht="12" hidden="false" customHeight="false" outlineLevel="0" collapsed="false">
      <c r="A169" s="134"/>
      <c r="B169" s="135"/>
      <c r="C169" s="143"/>
      <c r="D169" s="143"/>
      <c r="E169" s="143"/>
      <c r="F169" s="143"/>
      <c r="G169" s="143"/>
      <c r="H169" s="143"/>
      <c r="I169" s="143"/>
      <c r="J169" s="143"/>
      <c r="K169" s="143"/>
      <c r="L169" s="144"/>
      <c r="M169" s="143"/>
      <c r="N169" s="145"/>
      <c r="O169" s="146"/>
      <c r="P169" s="144"/>
      <c r="Q169" s="147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9"/>
      <c r="AE169" s="150"/>
      <c r="AF169" s="151"/>
      <c r="AG169" s="152"/>
      <c r="AH169" s="149"/>
    </row>
    <row r="170" customFormat="false" ht="12" hidden="false" customHeight="false" outlineLevel="0" collapsed="false">
      <c r="A170" s="134"/>
      <c r="B170" s="135"/>
      <c r="C170" s="143"/>
      <c r="D170" s="143"/>
      <c r="E170" s="143"/>
      <c r="F170" s="143"/>
      <c r="G170" s="143"/>
      <c r="H170" s="143"/>
      <c r="I170" s="143"/>
      <c r="J170" s="143"/>
      <c r="K170" s="143"/>
      <c r="L170" s="144"/>
      <c r="M170" s="143"/>
      <c r="N170" s="145"/>
      <c r="O170" s="146"/>
      <c r="P170" s="144"/>
      <c r="Q170" s="147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  <c r="AC170" s="148"/>
      <c r="AD170" s="149"/>
      <c r="AE170" s="150"/>
      <c r="AF170" s="151"/>
      <c r="AG170" s="152"/>
      <c r="AH170" s="149"/>
    </row>
    <row r="171" customFormat="false" ht="12" hidden="false" customHeight="false" outlineLevel="0" collapsed="false">
      <c r="A171" s="134"/>
      <c r="B171" s="135"/>
      <c r="C171" s="143"/>
      <c r="D171" s="143"/>
      <c r="E171" s="143"/>
      <c r="F171" s="143"/>
      <c r="G171" s="143"/>
      <c r="H171" s="143"/>
      <c r="I171" s="143"/>
      <c r="J171" s="143"/>
      <c r="K171" s="143"/>
      <c r="L171" s="144"/>
      <c r="M171" s="143"/>
      <c r="N171" s="145"/>
      <c r="O171" s="146"/>
      <c r="P171" s="144"/>
      <c r="Q171" s="147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  <c r="AC171" s="148"/>
      <c r="AD171" s="149"/>
      <c r="AE171" s="150"/>
      <c r="AF171" s="151"/>
      <c r="AG171" s="152"/>
      <c r="AH171" s="149"/>
    </row>
    <row r="172" customFormat="false" ht="12" hidden="false" customHeight="false" outlineLevel="0" collapsed="false">
      <c r="A172" s="134"/>
      <c r="B172" s="135"/>
      <c r="C172" s="143"/>
      <c r="D172" s="143"/>
      <c r="E172" s="143"/>
      <c r="F172" s="143"/>
      <c r="G172" s="143"/>
      <c r="H172" s="143"/>
      <c r="I172" s="143"/>
      <c r="J172" s="143"/>
      <c r="K172" s="143"/>
      <c r="L172" s="144"/>
      <c r="M172" s="143"/>
      <c r="N172" s="145"/>
      <c r="O172" s="146"/>
      <c r="P172" s="144"/>
      <c r="Q172" s="147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  <c r="AC172" s="148"/>
      <c r="AD172" s="149"/>
      <c r="AE172" s="150"/>
      <c r="AF172" s="151"/>
      <c r="AG172" s="152"/>
      <c r="AH172" s="149"/>
    </row>
    <row r="173" customFormat="false" ht="12" hidden="false" customHeight="false" outlineLevel="0" collapsed="false">
      <c r="A173" s="134"/>
      <c r="B173" s="135"/>
      <c r="C173" s="143"/>
      <c r="D173" s="143"/>
      <c r="E173" s="143"/>
      <c r="F173" s="143"/>
      <c r="G173" s="143"/>
      <c r="H173" s="143"/>
      <c r="I173" s="143"/>
      <c r="J173" s="143"/>
      <c r="K173" s="143"/>
      <c r="L173" s="144"/>
      <c r="M173" s="143"/>
      <c r="N173" s="145"/>
      <c r="O173" s="146"/>
      <c r="P173" s="144"/>
      <c r="Q173" s="147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  <c r="AC173" s="148"/>
      <c r="AD173" s="149"/>
      <c r="AE173" s="150"/>
      <c r="AF173" s="151"/>
      <c r="AG173" s="152"/>
      <c r="AH173" s="149"/>
    </row>
    <row r="174" customFormat="false" ht="12" hidden="false" customHeight="false" outlineLevel="0" collapsed="false">
      <c r="A174" s="134"/>
      <c r="B174" s="135"/>
      <c r="C174" s="143"/>
      <c r="D174" s="143"/>
      <c r="E174" s="143"/>
      <c r="F174" s="143"/>
      <c r="G174" s="143"/>
      <c r="H174" s="143"/>
      <c r="I174" s="143"/>
      <c r="J174" s="143"/>
      <c r="K174" s="143"/>
      <c r="L174" s="144"/>
      <c r="M174" s="143"/>
      <c r="N174" s="145"/>
      <c r="O174" s="146"/>
      <c r="P174" s="144"/>
      <c r="Q174" s="147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  <c r="AC174" s="148"/>
      <c r="AD174" s="149"/>
      <c r="AE174" s="150"/>
      <c r="AF174" s="151"/>
      <c r="AG174" s="152"/>
      <c r="AH174" s="149"/>
    </row>
    <row r="175" customFormat="false" ht="12" hidden="false" customHeight="false" outlineLevel="0" collapsed="false">
      <c r="A175" s="134"/>
      <c r="B175" s="135"/>
      <c r="C175" s="143"/>
      <c r="D175" s="143"/>
      <c r="E175" s="143"/>
      <c r="F175" s="143"/>
      <c r="G175" s="143"/>
      <c r="H175" s="143"/>
      <c r="I175" s="143"/>
      <c r="J175" s="143"/>
      <c r="K175" s="143"/>
      <c r="L175" s="144"/>
      <c r="M175" s="143"/>
      <c r="N175" s="145"/>
      <c r="O175" s="146"/>
      <c r="P175" s="144"/>
      <c r="Q175" s="147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  <c r="AC175" s="148"/>
      <c r="AD175" s="149"/>
      <c r="AE175" s="150"/>
      <c r="AF175" s="151"/>
      <c r="AG175" s="152"/>
      <c r="AH175" s="149"/>
    </row>
    <row r="176" customFormat="false" ht="12" hidden="false" customHeight="false" outlineLevel="0" collapsed="false">
      <c r="A176" s="134"/>
      <c r="B176" s="135"/>
      <c r="C176" s="143"/>
      <c r="D176" s="143"/>
      <c r="E176" s="143"/>
      <c r="F176" s="143"/>
      <c r="G176" s="143"/>
      <c r="H176" s="143"/>
      <c r="I176" s="143"/>
      <c r="J176" s="143"/>
      <c r="K176" s="143"/>
      <c r="L176" s="144"/>
      <c r="M176" s="143"/>
      <c r="N176" s="145"/>
      <c r="O176" s="146"/>
      <c r="P176" s="144"/>
      <c r="Q176" s="147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  <c r="AC176" s="148"/>
      <c r="AD176" s="149"/>
      <c r="AE176" s="150"/>
      <c r="AF176" s="151"/>
      <c r="AG176" s="152"/>
      <c r="AH176" s="149"/>
    </row>
    <row r="177" customFormat="false" ht="12" hidden="false" customHeight="false" outlineLevel="0" collapsed="false">
      <c r="A177" s="134"/>
      <c r="B177" s="135"/>
      <c r="C177" s="143"/>
      <c r="D177" s="143"/>
      <c r="E177" s="143"/>
      <c r="F177" s="143"/>
      <c r="G177" s="143"/>
      <c r="H177" s="143"/>
      <c r="I177" s="143"/>
      <c r="J177" s="143"/>
      <c r="K177" s="143"/>
      <c r="L177" s="144"/>
      <c r="M177" s="143"/>
      <c r="N177" s="145"/>
      <c r="O177" s="146"/>
      <c r="P177" s="144"/>
      <c r="Q177" s="147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  <c r="AC177" s="148"/>
      <c r="AD177" s="149"/>
      <c r="AE177" s="150"/>
      <c r="AF177" s="151"/>
      <c r="AG177" s="152"/>
      <c r="AH177" s="149"/>
    </row>
    <row r="178" customFormat="false" ht="12" hidden="false" customHeight="false" outlineLevel="0" collapsed="false">
      <c r="A178" s="134"/>
      <c r="B178" s="135"/>
      <c r="C178" s="143"/>
      <c r="D178" s="143"/>
      <c r="E178" s="143"/>
      <c r="F178" s="143"/>
      <c r="G178" s="143"/>
      <c r="H178" s="143"/>
      <c r="I178" s="143"/>
      <c r="J178" s="143"/>
      <c r="K178" s="143"/>
      <c r="L178" s="144"/>
      <c r="M178" s="143"/>
      <c r="N178" s="145"/>
      <c r="O178" s="146"/>
      <c r="P178" s="144"/>
      <c r="Q178" s="147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  <c r="AC178" s="148"/>
      <c r="AD178" s="149"/>
      <c r="AE178" s="150"/>
      <c r="AF178" s="151"/>
      <c r="AG178" s="152"/>
      <c r="AH178" s="149"/>
    </row>
    <row r="179" customFormat="false" ht="12" hidden="false" customHeight="false" outlineLevel="0" collapsed="false">
      <c r="A179" s="134"/>
      <c r="B179" s="135"/>
      <c r="C179" s="143"/>
      <c r="D179" s="143"/>
      <c r="E179" s="143"/>
      <c r="F179" s="143"/>
      <c r="G179" s="143"/>
      <c r="H179" s="143"/>
      <c r="I179" s="143"/>
      <c r="J179" s="143"/>
      <c r="K179" s="143"/>
      <c r="L179" s="144"/>
      <c r="M179" s="143"/>
      <c r="N179" s="145"/>
      <c r="O179" s="146"/>
      <c r="P179" s="144"/>
      <c r="Q179" s="147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  <c r="AC179" s="148"/>
      <c r="AD179" s="149"/>
      <c r="AE179" s="150"/>
      <c r="AF179" s="151"/>
      <c r="AG179" s="152"/>
      <c r="AH179" s="149"/>
    </row>
    <row r="180" customFormat="false" ht="12" hidden="false" customHeight="false" outlineLevel="0" collapsed="false">
      <c r="A180" s="134"/>
      <c r="B180" s="135"/>
      <c r="C180" s="143"/>
      <c r="D180" s="143"/>
      <c r="E180" s="143"/>
      <c r="F180" s="143"/>
      <c r="G180" s="143"/>
      <c r="H180" s="143"/>
      <c r="I180" s="143"/>
      <c r="J180" s="143"/>
      <c r="K180" s="143"/>
      <c r="L180" s="144"/>
      <c r="M180" s="143"/>
      <c r="N180" s="145"/>
      <c r="O180" s="146"/>
      <c r="P180" s="144"/>
      <c r="Q180" s="147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  <c r="AC180" s="148"/>
      <c r="AD180" s="149"/>
      <c r="AE180" s="150"/>
      <c r="AF180" s="151"/>
      <c r="AG180" s="152"/>
      <c r="AH180" s="149"/>
    </row>
    <row r="181" customFormat="false" ht="12" hidden="false" customHeight="false" outlineLevel="0" collapsed="false">
      <c r="A181" s="134"/>
      <c r="B181" s="135"/>
      <c r="C181" s="143"/>
      <c r="D181" s="143"/>
      <c r="E181" s="143"/>
      <c r="F181" s="143"/>
      <c r="G181" s="143"/>
      <c r="H181" s="143"/>
      <c r="I181" s="143"/>
      <c r="J181" s="143"/>
      <c r="K181" s="143"/>
      <c r="L181" s="144"/>
      <c r="M181" s="143"/>
      <c r="N181" s="145"/>
      <c r="O181" s="146"/>
      <c r="P181" s="144"/>
      <c r="Q181" s="147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  <c r="AC181" s="148"/>
      <c r="AD181" s="149"/>
      <c r="AE181" s="150"/>
      <c r="AF181" s="151"/>
      <c r="AG181" s="152"/>
      <c r="AH181" s="149"/>
    </row>
    <row r="182" customFormat="false" ht="12" hidden="false" customHeight="false" outlineLevel="0" collapsed="false">
      <c r="A182" s="134"/>
      <c r="B182" s="135"/>
      <c r="C182" s="143"/>
      <c r="D182" s="143"/>
      <c r="E182" s="143"/>
      <c r="F182" s="143"/>
      <c r="G182" s="143"/>
      <c r="H182" s="143"/>
      <c r="I182" s="143"/>
      <c r="J182" s="143"/>
      <c r="K182" s="143"/>
      <c r="L182" s="144"/>
      <c r="M182" s="143"/>
      <c r="N182" s="145"/>
      <c r="O182" s="146"/>
      <c r="P182" s="144"/>
      <c r="Q182" s="147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  <c r="AC182" s="148"/>
      <c r="AD182" s="149"/>
      <c r="AE182" s="150"/>
      <c r="AF182" s="151"/>
      <c r="AG182" s="152"/>
      <c r="AH182" s="149"/>
    </row>
    <row r="183" customFormat="false" ht="12" hidden="false" customHeight="false" outlineLevel="0" collapsed="false">
      <c r="A183" s="134"/>
      <c r="B183" s="135"/>
      <c r="C183" s="143"/>
      <c r="D183" s="143"/>
      <c r="E183" s="143"/>
      <c r="F183" s="143"/>
      <c r="G183" s="143"/>
      <c r="H183" s="143"/>
      <c r="I183" s="143"/>
      <c r="J183" s="143"/>
      <c r="K183" s="143"/>
      <c r="L183" s="144"/>
      <c r="M183" s="143"/>
      <c r="N183" s="145"/>
      <c r="O183" s="146"/>
      <c r="P183" s="144"/>
      <c r="Q183" s="147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  <c r="AC183" s="148"/>
      <c r="AD183" s="149"/>
      <c r="AE183" s="150"/>
      <c r="AF183" s="151"/>
      <c r="AG183" s="152"/>
      <c r="AH183" s="149"/>
    </row>
    <row r="184" customFormat="false" ht="12" hidden="false" customHeight="false" outlineLevel="0" collapsed="false">
      <c r="A184" s="134"/>
      <c r="B184" s="135"/>
      <c r="C184" s="143"/>
      <c r="D184" s="143"/>
      <c r="E184" s="143"/>
      <c r="F184" s="143"/>
      <c r="G184" s="143"/>
      <c r="H184" s="143"/>
      <c r="I184" s="143"/>
      <c r="J184" s="143"/>
      <c r="K184" s="143"/>
      <c r="L184" s="144"/>
      <c r="M184" s="143"/>
      <c r="N184" s="145"/>
      <c r="O184" s="146"/>
      <c r="P184" s="144"/>
      <c r="Q184" s="147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  <c r="AC184" s="148"/>
      <c r="AD184" s="149"/>
      <c r="AE184" s="150"/>
      <c r="AF184" s="151"/>
      <c r="AG184" s="152"/>
      <c r="AH184" s="149"/>
    </row>
    <row r="185" customFormat="false" ht="12" hidden="false" customHeight="false" outlineLevel="0" collapsed="false">
      <c r="A185" s="134"/>
      <c r="B185" s="135"/>
      <c r="C185" s="143"/>
      <c r="D185" s="143"/>
      <c r="E185" s="143"/>
      <c r="F185" s="143"/>
      <c r="G185" s="143"/>
      <c r="H185" s="143"/>
      <c r="I185" s="143"/>
      <c r="J185" s="143"/>
      <c r="K185" s="143"/>
      <c r="L185" s="144"/>
      <c r="M185" s="143"/>
      <c r="N185" s="145"/>
      <c r="O185" s="146"/>
      <c r="P185" s="144"/>
      <c r="Q185" s="147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  <c r="AC185" s="148"/>
      <c r="AD185" s="149"/>
      <c r="AE185" s="150"/>
      <c r="AF185" s="151"/>
      <c r="AG185" s="152"/>
      <c r="AH185" s="149"/>
    </row>
    <row r="186" customFormat="false" ht="12" hidden="false" customHeight="false" outlineLevel="0" collapsed="false">
      <c r="A186" s="134"/>
      <c r="B186" s="135"/>
      <c r="C186" s="143"/>
      <c r="D186" s="143"/>
      <c r="E186" s="143"/>
      <c r="F186" s="143"/>
      <c r="G186" s="143"/>
      <c r="H186" s="143"/>
      <c r="I186" s="143"/>
      <c r="J186" s="143"/>
      <c r="K186" s="143"/>
      <c r="L186" s="144"/>
      <c r="M186" s="143"/>
      <c r="N186" s="145"/>
      <c r="O186" s="146"/>
      <c r="P186" s="144"/>
      <c r="Q186" s="147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  <c r="AC186" s="148"/>
      <c r="AD186" s="149"/>
      <c r="AE186" s="150"/>
      <c r="AF186" s="151"/>
      <c r="AG186" s="152"/>
      <c r="AH186" s="149"/>
    </row>
    <row r="187" customFormat="false" ht="12" hidden="false" customHeight="false" outlineLevel="0" collapsed="false">
      <c r="A187" s="134"/>
      <c r="B187" s="135"/>
      <c r="C187" s="143"/>
      <c r="D187" s="143"/>
      <c r="E187" s="143"/>
      <c r="F187" s="143"/>
      <c r="G187" s="143"/>
      <c r="H187" s="143"/>
      <c r="I187" s="143"/>
      <c r="J187" s="143"/>
      <c r="K187" s="143"/>
      <c r="L187" s="144"/>
      <c r="M187" s="143"/>
      <c r="N187" s="145"/>
      <c r="O187" s="146"/>
      <c r="P187" s="144"/>
      <c r="Q187" s="147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  <c r="AC187" s="148"/>
      <c r="AD187" s="149"/>
      <c r="AE187" s="150"/>
      <c r="AF187" s="151"/>
      <c r="AG187" s="152"/>
      <c r="AH187" s="149"/>
    </row>
    <row r="188" customFormat="false" ht="12" hidden="false" customHeight="false" outlineLevel="0" collapsed="false">
      <c r="A188" s="134"/>
      <c r="B188" s="135"/>
      <c r="C188" s="143"/>
      <c r="D188" s="143"/>
      <c r="E188" s="143"/>
      <c r="F188" s="143"/>
      <c r="G188" s="143"/>
      <c r="H188" s="143"/>
      <c r="I188" s="143"/>
      <c r="J188" s="143"/>
      <c r="K188" s="143"/>
      <c r="L188" s="144"/>
      <c r="M188" s="143"/>
      <c r="N188" s="145"/>
      <c r="O188" s="146"/>
      <c r="P188" s="144"/>
      <c r="Q188" s="147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  <c r="AC188" s="148"/>
      <c r="AD188" s="149"/>
      <c r="AE188" s="150"/>
      <c r="AF188" s="151"/>
      <c r="AG188" s="152"/>
      <c r="AH188" s="149"/>
    </row>
    <row r="189" customFormat="false" ht="12" hidden="false" customHeight="false" outlineLevel="0" collapsed="false">
      <c r="A189" s="134"/>
      <c r="B189" s="135"/>
      <c r="C189" s="143"/>
      <c r="D189" s="143"/>
      <c r="E189" s="143"/>
      <c r="F189" s="143"/>
      <c r="G189" s="143"/>
      <c r="H189" s="143"/>
      <c r="I189" s="143"/>
      <c r="J189" s="143"/>
      <c r="K189" s="143"/>
      <c r="L189" s="144"/>
      <c r="M189" s="143"/>
      <c r="N189" s="145"/>
      <c r="O189" s="146"/>
      <c r="P189" s="144"/>
      <c r="Q189" s="147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  <c r="AC189" s="148"/>
      <c r="AD189" s="149"/>
      <c r="AE189" s="150"/>
      <c r="AF189" s="151"/>
      <c r="AG189" s="152"/>
      <c r="AH189" s="149"/>
    </row>
    <row r="190" customFormat="false" ht="12" hidden="false" customHeight="false" outlineLevel="0" collapsed="false">
      <c r="A190" s="134"/>
      <c r="B190" s="135"/>
      <c r="C190" s="143"/>
      <c r="D190" s="143"/>
      <c r="E190" s="143"/>
      <c r="F190" s="143"/>
      <c r="G190" s="143"/>
      <c r="H190" s="143"/>
      <c r="I190" s="143"/>
      <c r="J190" s="143"/>
      <c r="K190" s="143"/>
      <c r="L190" s="144"/>
      <c r="M190" s="143"/>
      <c r="N190" s="145"/>
      <c r="O190" s="146"/>
      <c r="P190" s="144"/>
      <c r="Q190" s="147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  <c r="AC190" s="148"/>
      <c r="AD190" s="149"/>
      <c r="AE190" s="150"/>
      <c r="AF190" s="151"/>
      <c r="AG190" s="152"/>
      <c r="AH190" s="149"/>
    </row>
    <row r="191" customFormat="false" ht="12" hidden="false" customHeight="false" outlineLevel="0" collapsed="false">
      <c r="A191" s="134"/>
      <c r="B191" s="135"/>
      <c r="C191" s="143"/>
      <c r="D191" s="143"/>
      <c r="E191" s="143"/>
      <c r="F191" s="143"/>
      <c r="G191" s="143"/>
      <c r="H191" s="143"/>
      <c r="I191" s="143"/>
      <c r="J191" s="143"/>
      <c r="K191" s="143"/>
      <c r="L191" s="144"/>
      <c r="M191" s="143"/>
      <c r="N191" s="145"/>
      <c r="O191" s="146"/>
      <c r="P191" s="144"/>
      <c r="Q191" s="147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  <c r="AC191" s="148"/>
      <c r="AD191" s="149"/>
      <c r="AE191" s="150"/>
      <c r="AF191" s="151"/>
      <c r="AG191" s="152"/>
      <c r="AH191" s="149"/>
    </row>
    <row r="192" customFormat="false" ht="12" hidden="false" customHeight="false" outlineLevel="0" collapsed="false">
      <c r="A192" s="134"/>
      <c r="B192" s="135"/>
      <c r="C192" s="143"/>
      <c r="D192" s="143"/>
      <c r="E192" s="143"/>
      <c r="F192" s="143"/>
      <c r="G192" s="143"/>
      <c r="H192" s="143"/>
      <c r="I192" s="143"/>
      <c r="J192" s="143"/>
      <c r="K192" s="143"/>
      <c r="L192" s="144"/>
      <c r="M192" s="143"/>
      <c r="N192" s="145"/>
      <c r="O192" s="146"/>
      <c r="P192" s="144"/>
      <c r="Q192" s="147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  <c r="AC192" s="148"/>
      <c r="AD192" s="149"/>
      <c r="AE192" s="150"/>
      <c r="AF192" s="151"/>
      <c r="AG192" s="152"/>
      <c r="AH192" s="149"/>
    </row>
    <row r="193" customFormat="false" ht="12" hidden="false" customHeight="false" outlineLevel="0" collapsed="false">
      <c r="A193" s="134"/>
      <c r="B193" s="135"/>
      <c r="C193" s="143"/>
      <c r="D193" s="143"/>
      <c r="E193" s="143"/>
      <c r="F193" s="143"/>
      <c r="G193" s="143"/>
      <c r="H193" s="143"/>
      <c r="I193" s="143"/>
      <c r="J193" s="143"/>
      <c r="K193" s="143"/>
      <c r="L193" s="144"/>
      <c r="M193" s="143"/>
      <c r="N193" s="145"/>
      <c r="O193" s="146"/>
      <c r="P193" s="144"/>
      <c r="Q193" s="147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  <c r="AC193" s="148"/>
      <c r="AD193" s="149"/>
      <c r="AE193" s="150"/>
      <c r="AF193" s="151"/>
      <c r="AG193" s="152"/>
      <c r="AH193" s="149"/>
    </row>
    <row r="194" customFormat="false" ht="12" hidden="false" customHeight="false" outlineLevel="0" collapsed="false">
      <c r="A194" s="134"/>
      <c r="B194" s="135"/>
      <c r="C194" s="143"/>
      <c r="D194" s="143"/>
      <c r="E194" s="143"/>
      <c r="F194" s="143"/>
      <c r="G194" s="143"/>
      <c r="H194" s="143"/>
      <c r="I194" s="143"/>
      <c r="J194" s="143"/>
      <c r="K194" s="143"/>
      <c r="L194" s="144"/>
      <c r="M194" s="143"/>
      <c r="N194" s="145"/>
      <c r="O194" s="146"/>
      <c r="P194" s="144"/>
      <c r="Q194" s="147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  <c r="AC194" s="148"/>
      <c r="AD194" s="149"/>
      <c r="AE194" s="150"/>
      <c r="AF194" s="151"/>
      <c r="AG194" s="152"/>
      <c r="AH194" s="149"/>
    </row>
    <row r="195" customFormat="false" ht="12" hidden="false" customHeight="false" outlineLevel="0" collapsed="false">
      <c r="A195" s="134"/>
      <c r="B195" s="135"/>
      <c r="C195" s="143"/>
      <c r="D195" s="143"/>
      <c r="E195" s="143"/>
      <c r="F195" s="143"/>
      <c r="G195" s="143"/>
      <c r="H195" s="143"/>
      <c r="I195" s="143"/>
      <c r="J195" s="143"/>
      <c r="K195" s="143"/>
      <c r="L195" s="144"/>
      <c r="M195" s="143"/>
      <c r="N195" s="145"/>
      <c r="O195" s="146"/>
      <c r="P195" s="144"/>
      <c r="Q195" s="147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  <c r="AC195" s="148"/>
      <c r="AD195" s="149"/>
      <c r="AE195" s="150"/>
      <c r="AF195" s="151"/>
      <c r="AG195" s="152"/>
      <c r="AH195" s="149"/>
    </row>
    <row r="196" customFormat="false" ht="12" hidden="false" customHeight="false" outlineLevel="0" collapsed="false">
      <c r="A196" s="134"/>
      <c r="B196" s="135"/>
      <c r="C196" s="143"/>
      <c r="D196" s="143"/>
      <c r="E196" s="143"/>
      <c r="F196" s="143"/>
      <c r="G196" s="143"/>
      <c r="H196" s="143"/>
      <c r="I196" s="143"/>
      <c r="J196" s="143"/>
      <c r="K196" s="143"/>
      <c r="L196" s="144"/>
      <c r="M196" s="143"/>
      <c r="N196" s="145"/>
      <c r="O196" s="146"/>
      <c r="P196" s="144"/>
      <c r="Q196" s="147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  <c r="AC196" s="148"/>
      <c r="AD196" s="149"/>
      <c r="AE196" s="150"/>
      <c r="AF196" s="151"/>
      <c r="AG196" s="152"/>
      <c r="AH196" s="149"/>
    </row>
    <row r="197" customFormat="false" ht="12" hidden="false" customHeight="false" outlineLevel="0" collapsed="false">
      <c r="A197" s="134"/>
      <c r="B197" s="135"/>
      <c r="C197" s="143"/>
      <c r="D197" s="143"/>
      <c r="E197" s="143"/>
      <c r="F197" s="143"/>
      <c r="G197" s="143"/>
      <c r="H197" s="143"/>
      <c r="I197" s="143"/>
      <c r="J197" s="143"/>
      <c r="K197" s="143"/>
      <c r="L197" s="144"/>
      <c r="M197" s="143"/>
      <c r="N197" s="145"/>
      <c r="O197" s="146"/>
      <c r="P197" s="144"/>
      <c r="Q197" s="147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  <c r="AC197" s="148"/>
      <c r="AD197" s="149"/>
      <c r="AE197" s="150"/>
      <c r="AF197" s="151"/>
      <c r="AG197" s="152"/>
      <c r="AH197" s="149"/>
    </row>
    <row r="198" customFormat="false" ht="12" hidden="false" customHeight="false" outlineLevel="0" collapsed="false">
      <c r="A198" s="134"/>
      <c r="B198" s="135"/>
      <c r="C198" s="143"/>
      <c r="D198" s="143"/>
      <c r="E198" s="143"/>
      <c r="F198" s="143"/>
      <c r="G198" s="143"/>
      <c r="H198" s="143"/>
      <c r="I198" s="143"/>
      <c r="J198" s="143"/>
      <c r="K198" s="143"/>
      <c r="L198" s="144"/>
      <c r="M198" s="143"/>
      <c r="N198" s="145"/>
      <c r="O198" s="146"/>
      <c r="P198" s="144"/>
      <c r="Q198" s="147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  <c r="AC198" s="148"/>
      <c r="AD198" s="149"/>
      <c r="AE198" s="150"/>
      <c r="AF198" s="151"/>
      <c r="AG198" s="152"/>
      <c r="AH198" s="149"/>
    </row>
    <row r="199" customFormat="false" ht="12" hidden="false" customHeight="false" outlineLevel="0" collapsed="false">
      <c r="A199" s="134"/>
      <c r="B199" s="135"/>
      <c r="C199" s="143"/>
      <c r="D199" s="143"/>
      <c r="E199" s="143"/>
      <c r="F199" s="143"/>
      <c r="G199" s="143"/>
      <c r="H199" s="143"/>
      <c r="I199" s="143"/>
      <c r="J199" s="143"/>
      <c r="K199" s="143"/>
      <c r="L199" s="144"/>
      <c r="M199" s="143"/>
      <c r="N199" s="145"/>
      <c r="O199" s="146"/>
      <c r="P199" s="144"/>
      <c r="Q199" s="147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9"/>
      <c r="AE199" s="150"/>
      <c r="AF199" s="151"/>
      <c r="AG199" s="152"/>
      <c r="AH199" s="149"/>
    </row>
    <row r="200" customFormat="false" ht="12" hidden="false" customHeight="false" outlineLevel="0" collapsed="false">
      <c r="A200" s="134"/>
      <c r="B200" s="135"/>
      <c r="C200" s="143"/>
      <c r="D200" s="143"/>
      <c r="E200" s="143"/>
      <c r="F200" s="143"/>
      <c r="G200" s="143"/>
      <c r="H200" s="143"/>
      <c r="I200" s="143"/>
      <c r="J200" s="143"/>
      <c r="K200" s="143"/>
      <c r="L200" s="144"/>
      <c r="M200" s="143"/>
      <c r="N200" s="145"/>
      <c r="O200" s="146"/>
      <c r="P200" s="144"/>
      <c r="Q200" s="147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  <c r="AC200" s="148"/>
      <c r="AD200" s="149"/>
      <c r="AE200" s="150"/>
      <c r="AF200" s="151"/>
      <c r="AG200" s="152"/>
      <c r="AH200" s="149"/>
    </row>
    <row r="201" customFormat="false" ht="12" hidden="false" customHeight="false" outlineLevel="0" collapsed="false">
      <c r="A201" s="134"/>
      <c r="B201" s="135"/>
      <c r="C201" s="143"/>
      <c r="D201" s="143"/>
      <c r="E201" s="143"/>
      <c r="F201" s="143"/>
      <c r="G201" s="143"/>
      <c r="H201" s="143"/>
      <c r="I201" s="143"/>
      <c r="J201" s="143"/>
      <c r="K201" s="143"/>
      <c r="L201" s="144"/>
      <c r="M201" s="143"/>
      <c r="N201" s="145"/>
      <c r="O201" s="146"/>
      <c r="P201" s="144"/>
      <c r="Q201" s="147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  <c r="AC201" s="148"/>
      <c r="AD201" s="149"/>
      <c r="AE201" s="150"/>
      <c r="AF201" s="151"/>
      <c r="AG201" s="152"/>
      <c r="AH201" s="149"/>
    </row>
    <row r="202" customFormat="false" ht="12" hidden="false" customHeight="false" outlineLevel="0" collapsed="false">
      <c r="A202" s="134"/>
      <c r="B202" s="135"/>
      <c r="C202" s="143"/>
      <c r="D202" s="143"/>
      <c r="E202" s="143"/>
      <c r="F202" s="143"/>
      <c r="G202" s="143"/>
      <c r="H202" s="143"/>
      <c r="I202" s="143"/>
      <c r="J202" s="143"/>
      <c r="K202" s="143"/>
      <c r="L202" s="144"/>
      <c r="M202" s="143"/>
      <c r="N202" s="145"/>
      <c r="O202" s="146"/>
      <c r="P202" s="144"/>
      <c r="Q202" s="147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  <c r="AC202" s="148"/>
      <c r="AD202" s="149"/>
      <c r="AE202" s="150"/>
      <c r="AF202" s="151"/>
      <c r="AG202" s="152"/>
      <c r="AH202" s="149"/>
    </row>
    <row r="203" customFormat="false" ht="12" hidden="false" customHeight="false" outlineLevel="0" collapsed="false">
      <c r="A203" s="134"/>
      <c r="B203" s="135"/>
      <c r="C203" s="143"/>
      <c r="D203" s="143"/>
      <c r="E203" s="143"/>
      <c r="F203" s="143"/>
      <c r="G203" s="143"/>
      <c r="H203" s="143"/>
      <c r="I203" s="143"/>
      <c r="J203" s="143"/>
      <c r="K203" s="143"/>
      <c r="L203" s="144"/>
      <c r="M203" s="143"/>
      <c r="N203" s="145"/>
      <c r="O203" s="146"/>
      <c r="P203" s="144"/>
      <c r="Q203" s="147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  <c r="AC203" s="148"/>
      <c r="AD203" s="149"/>
      <c r="AE203" s="150"/>
      <c r="AF203" s="151"/>
      <c r="AG203" s="152"/>
      <c r="AH203" s="149"/>
    </row>
    <row r="204" customFormat="false" ht="12" hidden="false" customHeight="false" outlineLevel="0" collapsed="false">
      <c r="A204" s="134"/>
      <c r="B204" s="135"/>
      <c r="C204" s="143"/>
      <c r="D204" s="143"/>
      <c r="E204" s="143"/>
      <c r="F204" s="143"/>
      <c r="G204" s="143"/>
      <c r="H204" s="143"/>
      <c r="I204" s="143"/>
      <c r="J204" s="143"/>
      <c r="K204" s="143"/>
      <c r="L204" s="144"/>
      <c r="M204" s="143"/>
      <c r="N204" s="145"/>
      <c r="O204" s="146"/>
      <c r="P204" s="144"/>
      <c r="Q204" s="147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  <c r="AC204" s="148"/>
      <c r="AD204" s="149"/>
      <c r="AE204" s="150"/>
      <c r="AF204" s="151"/>
      <c r="AG204" s="152"/>
      <c r="AH204" s="149"/>
    </row>
    <row r="205" customFormat="false" ht="12" hidden="false" customHeight="false" outlineLevel="0" collapsed="false">
      <c r="A205" s="134"/>
      <c r="B205" s="135"/>
      <c r="C205" s="143"/>
      <c r="D205" s="143"/>
      <c r="E205" s="143"/>
      <c r="F205" s="143"/>
      <c r="G205" s="143"/>
      <c r="H205" s="143"/>
      <c r="I205" s="143"/>
      <c r="J205" s="143"/>
      <c r="K205" s="143"/>
      <c r="L205" s="144"/>
      <c r="M205" s="143"/>
      <c r="N205" s="145"/>
      <c r="O205" s="146"/>
      <c r="P205" s="144"/>
      <c r="Q205" s="147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  <c r="AC205" s="148"/>
      <c r="AD205" s="149"/>
      <c r="AE205" s="150"/>
      <c r="AF205" s="151"/>
      <c r="AG205" s="152"/>
      <c r="AH205" s="149"/>
    </row>
    <row r="206" customFormat="false" ht="12" hidden="false" customHeight="false" outlineLevel="0" collapsed="false">
      <c r="A206" s="134"/>
      <c r="B206" s="135"/>
      <c r="C206" s="143"/>
      <c r="D206" s="143"/>
      <c r="E206" s="143"/>
      <c r="F206" s="143"/>
      <c r="G206" s="143"/>
      <c r="H206" s="143"/>
      <c r="I206" s="143"/>
      <c r="J206" s="143"/>
      <c r="K206" s="143"/>
      <c r="L206" s="144"/>
      <c r="M206" s="143"/>
      <c r="N206" s="145"/>
      <c r="O206" s="146"/>
      <c r="P206" s="144"/>
      <c r="Q206" s="147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9"/>
      <c r="AE206" s="150"/>
      <c r="AF206" s="151"/>
      <c r="AG206" s="152"/>
      <c r="AH206" s="149"/>
    </row>
    <row r="207" customFormat="false" ht="12" hidden="false" customHeight="false" outlineLevel="0" collapsed="false">
      <c r="A207" s="134"/>
      <c r="B207" s="135"/>
      <c r="C207" s="143"/>
      <c r="D207" s="143"/>
      <c r="E207" s="143"/>
      <c r="F207" s="143"/>
      <c r="G207" s="143"/>
      <c r="H207" s="143"/>
      <c r="I207" s="143"/>
      <c r="J207" s="143"/>
      <c r="K207" s="143"/>
      <c r="L207" s="144"/>
      <c r="M207" s="143"/>
      <c r="N207" s="145"/>
      <c r="O207" s="146"/>
      <c r="P207" s="144"/>
      <c r="Q207" s="147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  <c r="AC207" s="148"/>
      <c r="AD207" s="149"/>
      <c r="AE207" s="150"/>
      <c r="AF207" s="151"/>
      <c r="AG207" s="152"/>
      <c r="AH207" s="149"/>
    </row>
    <row r="208" customFormat="false" ht="12" hidden="false" customHeight="false" outlineLevel="0" collapsed="false">
      <c r="A208" s="134"/>
      <c r="B208" s="135"/>
      <c r="C208" s="143"/>
      <c r="D208" s="143"/>
      <c r="E208" s="143"/>
      <c r="F208" s="143"/>
      <c r="G208" s="143"/>
      <c r="H208" s="143"/>
      <c r="I208" s="143"/>
      <c r="J208" s="143"/>
      <c r="K208" s="143"/>
      <c r="L208" s="144"/>
      <c r="M208" s="143"/>
      <c r="N208" s="145"/>
      <c r="O208" s="146"/>
      <c r="P208" s="144"/>
      <c r="Q208" s="147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  <c r="AC208" s="148"/>
      <c r="AD208" s="149"/>
      <c r="AE208" s="150"/>
      <c r="AF208" s="151"/>
      <c r="AG208" s="152"/>
      <c r="AH208" s="149"/>
    </row>
    <row r="209" customFormat="false" ht="12" hidden="false" customHeight="false" outlineLevel="0" collapsed="false">
      <c r="A209" s="134"/>
      <c r="B209" s="135"/>
      <c r="C209" s="143"/>
      <c r="D209" s="143"/>
      <c r="E209" s="143"/>
      <c r="F209" s="143"/>
      <c r="G209" s="143"/>
      <c r="H209" s="143"/>
      <c r="I209" s="143"/>
      <c r="J209" s="143"/>
      <c r="K209" s="143"/>
      <c r="L209" s="144"/>
      <c r="M209" s="143"/>
      <c r="N209" s="145"/>
      <c r="O209" s="146"/>
      <c r="P209" s="144"/>
      <c r="Q209" s="147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  <c r="AC209" s="148"/>
      <c r="AD209" s="149"/>
      <c r="AE209" s="150"/>
      <c r="AF209" s="151"/>
      <c r="AG209" s="152"/>
      <c r="AH209" s="149"/>
    </row>
    <row r="210" customFormat="false" ht="12" hidden="false" customHeight="false" outlineLevel="0" collapsed="false">
      <c r="A210" s="134"/>
      <c r="B210" s="135"/>
      <c r="C210" s="143"/>
      <c r="D210" s="143"/>
      <c r="E210" s="143"/>
      <c r="F210" s="143"/>
      <c r="G210" s="143"/>
      <c r="H210" s="143"/>
      <c r="I210" s="143"/>
      <c r="J210" s="143"/>
      <c r="K210" s="143"/>
      <c r="L210" s="144"/>
      <c r="M210" s="143"/>
      <c r="N210" s="145"/>
      <c r="O210" s="146"/>
      <c r="P210" s="144"/>
      <c r="Q210" s="147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  <c r="AC210" s="148"/>
      <c r="AD210" s="149"/>
      <c r="AE210" s="150"/>
      <c r="AF210" s="151"/>
      <c r="AG210" s="152"/>
      <c r="AH210" s="149"/>
    </row>
    <row r="211" customFormat="false" ht="12" hidden="false" customHeight="false" outlineLevel="0" collapsed="false">
      <c r="A211" s="134"/>
      <c r="B211" s="135"/>
      <c r="C211" s="143"/>
      <c r="D211" s="143"/>
      <c r="E211" s="143"/>
      <c r="F211" s="143"/>
      <c r="G211" s="143"/>
      <c r="H211" s="143"/>
      <c r="I211" s="143"/>
      <c r="J211" s="143"/>
      <c r="K211" s="143"/>
      <c r="L211" s="144"/>
      <c r="M211" s="143"/>
      <c r="N211" s="145"/>
      <c r="O211" s="146"/>
      <c r="P211" s="144"/>
      <c r="Q211" s="147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  <c r="AC211" s="148"/>
      <c r="AD211" s="149"/>
      <c r="AE211" s="150"/>
      <c r="AF211" s="151"/>
      <c r="AG211" s="152"/>
      <c r="AH211" s="149"/>
    </row>
    <row r="212" customFormat="false" ht="12" hidden="false" customHeight="false" outlineLevel="0" collapsed="false">
      <c r="A212" s="134"/>
      <c r="B212" s="135"/>
      <c r="C212" s="143"/>
      <c r="D212" s="143"/>
      <c r="E212" s="143"/>
      <c r="F212" s="143"/>
      <c r="G212" s="143"/>
      <c r="H212" s="143"/>
      <c r="I212" s="143"/>
      <c r="J212" s="143"/>
      <c r="K212" s="143"/>
      <c r="L212" s="144"/>
      <c r="M212" s="143"/>
      <c r="N212" s="145"/>
      <c r="O212" s="146"/>
      <c r="P212" s="144"/>
      <c r="Q212" s="147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  <c r="AC212" s="148"/>
      <c r="AD212" s="149"/>
      <c r="AE212" s="150"/>
      <c r="AF212" s="151"/>
      <c r="AG212" s="152"/>
      <c r="AH212" s="149"/>
    </row>
    <row r="213" customFormat="false" ht="12" hidden="false" customHeight="false" outlineLevel="0" collapsed="false">
      <c r="A213" s="134"/>
      <c r="B213" s="135"/>
      <c r="C213" s="143"/>
      <c r="D213" s="143"/>
      <c r="E213" s="143"/>
      <c r="F213" s="143"/>
      <c r="G213" s="143"/>
      <c r="H213" s="143"/>
      <c r="I213" s="143"/>
      <c r="J213" s="143"/>
      <c r="K213" s="143"/>
      <c r="L213" s="144"/>
      <c r="M213" s="143"/>
      <c r="N213" s="145"/>
      <c r="O213" s="146"/>
      <c r="P213" s="144"/>
      <c r="Q213" s="147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  <c r="AC213" s="148"/>
      <c r="AD213" s="149"/>
      <c r="AE213" s="150"/>
      <c r="AF213" s="151"/>
      <c r="AG213" s="152"/>
      <c r="AH213" s="149"/>
    </row>
    <row r="214" customFormat="false" ht="12" hidden="false" customHeight="false" outlineLevel="0" collapsed="false">
      <c r="A214" s="134"/>
      <c r="B214" s="135"/>
      <c r="C214" s="143"/>
      <c r="D214" s="143"/>
      <c r="E214" s="143"/>
      <c r="F214" s="143"/>
      <c r="G214" s="143"/>
      <c r="H214" s="143"/>
      <c r="I214" s="143"/>
      <c r="J214" s="143"/>
      <c r="K214" s="143"/>
      <c r="L214" s="144"/>
      <c r="M214" s="143"/>
      <c r="N214" s="145"/>
      <c r="O214" s="146"/>
      <c r="P214" s="144"/>
      <c r="Q214" s="147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  <c r="AC214" s="148"/>
      <c r="AD214" s="149"/>
      <c r="AE214" s="150"/>
      <c r="AF214" s="151"/>
      <c r="AG214" s="152"/>
      <c r="AH214" s="149"/>
    </row>
    <row r="215" customFormat="false" ht="12" hidden="false" customHeight="false" outlineLevel="0" collapsed="false">
      <c r="A215" s="134"/>
      <c r="B215" s="135"/>
      <c r="C215" s="143"/>
      <c r="D215" s="143"/>
      <c r="E215" s="143"/>
      <c r="F215" s="143"/>
      <c r="G215" s="143"/>
      <c r="H215" s="143"/>
      <c r="I215" s="143"/>
      <c r="J215" s="143"/>
      <c r="K215" s="143"/>
      <c r="L215" s="144"/>
      <c r="M215" s="143"/>
      <c r="N215" s="145"/>
      <c r="O215" s="146"/>
      <c r="P215" s="144"/>
      <c r="Q215" s="147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  <c r="AC215" s="148"/>
      <c r="AD215" s="149"/>
      <c r="AE215" s="150"/>
      <c r="AF215" s="151"/>
      <c r="AG215" s="152"/>
      <c r="AH215" s="149"/>
    </row>
    <row r="216" customFormat="false" ht="12" hidden="false" customHeight="false" outlineLevel="0" collapsed="false">
      <c r="A216" s="134"/>
      <c r="B216" s="135"/>
      <c r="C216" s="143"/>
      <c r="D216" s="143"/>
      <c r="E216" s="143"/>
      <c r="F216" s="143"/>
      <c r="G216" s="143"/>
      <c r="H216" s="143"/>
      <c r="I216" s="143"/>
      <c r="J216" s="143"/>
      <c r="K216" s="143"/>
      <c r="L216" s="144"/>
      <c r="M216" s="143"/>
      <c r="N216" s="145"/>
      <c r="O216" s="146"/>
      <c r="P216" s="144"/>
      <c r="Q216" s="147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  <c r="AC216" s="148"/>
      <c r="AD216" s="149"/>
      <c r="AE216" s="150"/>
      <c r="AF216" s="151"/>
      <c r="AG216" s="152"/>
      <c r="AH216" s="149"/>
    </row>
    <row r="217" customFormat="false" ht="12" hidden="false" customHeight="false" outlineLevel="0" collapsed="false">
      <c r="A217" s="134"/>
      <c r="B217" s="135"/>
      <c r="C217" s="143"/>
      <c r="D217" s="143"/>
      <c r="E217" s="143"/>
      <c r="F217" s="143"/>
      <c r="G217" s="143"/>
      <c r="H217" s="143"/>
      <c r="I217" s="143"/>
      <c r="J217" s="143"/>
      <c r="K217" s="143"/>
      <c r="L217" s="144"/>
      <c r="M217" s="143"/>
      <c r="N217" s="145"/>
      <c r="O217" s="146"/>
      <c r="P217" s="144"/>
      <c r="Q217" s="147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  <c r="AC217" s="148"/>
      <c r="AD217" s="149"/>
      <c r="AE217" s="150"/>
      <c r="AF217" s="151"/>
      <c r="AG217" s="152"/>
      <c r="AH217" s="149"/>
    </row>
    <row r="218" customFormat="false" ht="12" hidden="false" customHeight="false" outlineLevel="0" collapsed="false">
      <c r="A218" s="134"/>
      <c r="B218" s="135"/>
      <c r="C218" s="143"/>
      <c r="D218" s="143"/>
      <c r="E218" s="143"/>
      <c r="F218" s="143"/>
      <c r="G218" s="143"/>
      <c r="H218" s="143"/>
      <c r="I218" s="143"/>
      <c r="J218" s="143"/>
      <c r="K218" s="143"/>
      <c r="L218" s="144"/>
      <c r="M218" s="143"/>
      <c r="N218" s="145"/>
      <c r="O218" s="146"/>
      <c r="P218" s="144"/>
      <c r="Q218" s="147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  <c r="AC218" s="148"/>
      <c r="AD218" s="149"/>
      <c r="AE218" s="150"/>
      <c r="AF218" s="151"/>
      <c r="AG218" s="152"/>
      <c r="AH218" s="149"/>
    </row>
    <row r="219" customFormat="false" ht="12" hidden="false" customHeight="false" outlineLevel="0" collapsed="false">
      <c r="A219" s="134"/>
      <c r="B219" s="135"/>
      <c r="C219" s="143"/>
      <c r="D219" s="143"/>
      <c r="E219" s="143"/>
      <c r="F219" s="143"/>
      <c r="G219" s="143"/>
      <c r="H219" s="143"/>
      <c r="I219" s="143"/>
      <c r="J219" s="143"/>
      <c r="K219" s="143"/>
      <c r="L219" s="144"/>
      <c r="M219" s="143"/>
      <c r="N219" s="145"/>
      <c r="O219" s="146"/>
      <c r="P219" s="144"/>
      <c r="Q219" s="147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  <c r="AC219" s="148"/>
      <c r="AD219" s="149"/>
      <c r="AE219" s="150"/>
      <c r="AF219" s="151"/>
      <c r="AG219" s="152"/>
      <c r="AH219" s="149"/>
    </row>
    <row r="220" customFormat="false" ht="12" hidden="false" customHeight="false" outlineLevel="0" collapsed="false">
      <c r="A220" s="134"/>
      <c r="B220" s="135"/>
      <c r="C220" s="143"/>
      <c r="D220" s="143"/>
      <c r="E220" s="143"/>
      <c r="F220" s="143"/>
      <c r="G220" s="143"/>
      <c r="H220" s="143"/>
      <c r="I220" s="143"/>
      <c r="J220" s="143"/>
      <c r="K220" s="143"/>
      <c r="L220" s="144"/>
      <c r="M220" s="143"/>
      <c r="N220" s="145"/>
      <c r="O220" s="146"/>
      <c r="P220" s="144"/>
      <c r="Q220" s="147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  <c r="AC220" s="148"/>
      <c r="AD220" s="149"/>
      <c r="AE220" s="150"/>
      <c r="AF220" s="151"/>
      <c r="AG220" s="152"/>
      <c r="AH220" s="149"/>
    </row>
    <row r="221" customFormat="false" ht="12" hidden="false" customHeight="false" outlineLevel="0" collapsed="false">
      <c r="A221" s="134"/>
      <c r="B221" s="135"/>
      <c r="C221" s="143"/>
      <c r="D221" s="143"/>
      <c r="E221" s="143"/>
      <c r="F221" s="143"/>
      <c r="G221" s="143"/>
      <c r="H221" s="143"/>
      <c r="I221" s="143"/>
      <c r="J221" s="143"/>
      <c r="K221" s="143"/>
      <c r="L221" s="144"/>
      <c r="M221" s="143"/>
      <c r="N221" s="145"/>
      <c r="O221" s="146"/>
      <c r="P221" s="144"/>
      <c r="Q221" s="147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9"/>
      <c r="AE221" s="150"/>
      <c r="AF221" s="151"/>
      <c r="AG221" s="152"/>
      <c r="AH221" s="149"/>
    </row>
    <row r="222" customFormat="false" ht="12" hidden="false" customHeight="false" outlineLevel="0" collapsed="false">
      <c r="A222" s="134"/>
      <c r="B222" s="135"/>
      <c r="C222" s="143"/>
      <c r="D222" s="143"/>
      <c r="E222" s="143"/>
      <c r="F222" s="143"/>
      <c r="G222" s="143"/>
      <c r="H222" s="143"/>
      <c r="I222" s="143"/>
      <c r="J222" s="143"/>
      <c r="K222" s="143"/>
      <c r="L222" s="144"/>
      <c r="M222" s="143"/>
      <c r="N222" s="145"/>
      <c r="O222" s="146"/>
      <c r="P222" s="144"/>
      <c r="Q222" s="147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  <c r="AC222" s="148"/>
      <c r="AD222" s="149"/>
      <c r="AE222" s="150"/>
      <c r="AF222" s="151"/>
      <c r="AG222" s="152"/>
      <c r="AH222" s="149"/>
    </row>
    <row r="223" customFormat="false" ht="12" hidden="false" customHeight="false" outlineLevel="0" collapsed="false">
      <c r="A223" s="134"/>
      <c r="B223" s="135"/>
      <c r="C223" s="143"/>
      <c r="D223" s="143"/>
      <c r="E223" s="143"/>
      <c r="F223" s="143"/>
      <c r="G223" s="143"/>
      <c r="H223" s="143"/>
      <c r="I223" s="143"/>
      <c r="J223" s="143"/>
      <c r="K223" s="143"/>
      <c r="L223" s="144"/>
      <c r="M223" s="143"/>
      <c r="N223" s="145"/>
      <c r="O223" s="146"/>
      <c r="P223" s="144"/>
      <c r="Q223" s="147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  <c r="AC223" s="148"/>
      <c r="AD223" s="149"/>
      <c r="AE223" s="150"/>
      <c r="AF223" s="151"/>
      <c r="AG223" s="152"/>
      <c r="AH223" s="149"/>
    </row>
    <row r="224" customFormat="false" ht="12" hidden="false" customHeight="false" outlineLevel="0" collapsed="false">
      <c r="A224" s="134"/>
      <c r="B224" s="135"/>
      <c r="C224" s="143"/>
      <c r="D224" s="143"/>
      <c r="E224" s="143"/>
      <c r="F224" s="143"/>
      <c r="G224" s="143"/>
      <c r="H224" s="143"/>
      <c r="I224" s="143"/>
      <c r="J224" s="143"/>
      <c r="K224" s="143"/>
      <c r="L224" s="144"/>
      <c r="M224" s="143"/>
      <c r="N224" s="145"/>
      <c r="O224" s="146"/>
      <c r="P224" s="144"/>
      <c r="Q224" s="147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  <c r="AC224" s="148"/>
      <c r="AD224" s="149"/>
      <c r="AE224" s="150"/>
      <c r="AF224" s="151"/>
      <c r="AG224" s="152"/>
      <c r="AH224" s="149"/>
    </row>
    <row r="225" customFormat="false" ht="12" hidden="false" customHeight="false" outlineLevel="0" collapsed="false">
      <c r="A225" s="134"/>
      <c r="B225" s="135"/>
      <c r="C225" s="143"/>
      <c r="D225" s="143"/>
      <c r="E225" s="143"/>
      <c r="F225" s="143"/>
      <c r="G225" s="143"/>
      <c r="H225" s="143"/>
      <c r="I225" s="143"/>
      <c r="J225" s="143"/>
      <c r="K225" s="143"/>
      <c r="L225" s="144"/>
      <c r="M225" s="143"/>
      <c r="N225" s="145"/>
      <c r="O225" s="146"/>
      <c r="P225" s="144"/>
      <c r="Q225" s="147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  <c r="AC225" s="148"/>
      <c r="AD225" s="149"/>
      <c r="AE225" s="150"/>
      <c r="AF225" s="151"/>
      <c r="AG225" s="152"/>
      <c r="AH225" s="149"/>
    </row>
    <row r="226" customFormat="false" ht="12" hidden="false" customHeight="false" outlineLevel="0" collapsed="false">
      <c r="A226" s="134"/>
      <c r="B226" s="135"/>
      <c r="C226" s="143"/>
      <c r="D226" s="143"/>
      <c r="E226" s="143"/>
      <c r="F226" s="143"/>
      <c r="G226" s="143"/>
      <c r="H226" s="143"/>
      <c r="I226" s="143"/>
      <c r="J226" s="143"/>
      <c r="K226" s="143"/>
      <c r="L226" s="144"/>
      <c r="M226" s="143"/>
      <c r="N226" s="145"/>
      <c r="O226" s="146"/>
      <c r="P226" s="144"/>
      <c r="Q226" s="147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  <c r="AC226" s="148"/>
      <c r="AD226" s="149"/>
      <c r="AE226" s="150"/>
      <c r="AF226" s="151"/>
      <c r="AG226" s="152"/>
      <c r="AH226" s="149"/>
    </row>
    <row r="227" customFormat="false" ht="12" hidden="false" customHeight="false" outlineLevel="0" collapsed="false">
      <c r="A227" s="134"/>
      <c r="B227" s="135"/>
      <c r="C227" s="143"/>
      <c r="D227" s="143"/>
      <c r="E227" s="143"/>
      <c r="F227" s="143"/>
      <c r="G227" s="143"/>
      <c r="H227" s="143"/>
      <c r="I227" s="143"/>
      <c r="J227" s="143"/>
      <c r="K227" s="143"/>
      <c r="L227" s="144"/>
      <c r="M227" s="143"/>
      <c r="N227" s="145"/>
      <c r="O227" s="146"/>
      <c r="P227" s="144"/>
      <c r="Q227" s="147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  <c r="AC227" s="148"/>
      <c r="AD227" s="149"/>
      <c r="AE227" s="150"/>
      <c r="AF227" s="151"/>
      <c r="AG227" s="152"/>
      <c r="AH227" s="149"/>
    </row>
    <row r="228" customFormat="false" ht="12" hidden="false" customHeight="false" outlineLevel="0" collapsed="false">
      <c r="A228" s="134"/>
      <c r="B228" s="135"/>
      <c r="C228" s="143"/>
      <c r="D228" s="143"/>
      <c r="E228" s="143"/>
      <c r="F228" s="143"/>
      <c r="G228" s="143"/>
      <c r="H228" s="143"/>
      <c r="I228" s="143"/>
      <c r="J228" s="143"/>
      <c r="K228" s="143"/>
      <c r="L228" s="144"/>
      <c r="M228" s="143"/>
      <c r="N228" s="145"/>
      <c r="O228" s="146"/>
      <c r="P228" s="144"/>
      <c r="Q228" s="147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  <c r="AC228" s="148"/>
      <c r="AD228" s="149"/>
      <c r="AE228" s="150"/>
      <c r="AF228" s="151"/>
      <c r="AG228" s="152"/>
      <c r="AH228" s="149"/>
    </row>
    <row r="229" customFormat="false" ht="12" hidden="false" customHeight="false" outlineLevel="0" collapsed="false">
      <c r="A229" s="134"/>
      <c r="B229" s="135"/>
      <c r="C229" s="143"/>
      <c r="D229" s="143"/>
      <c r="E229" s="143"/>
      <c r="F229" s="143"/>
      <c r="G229" s="143"/>
      <c r="H229" s="143"/>
      <c r="I229" s="143"/>
      <c r="J229" s="143"/>
      <c r="K229" s="143"/>
      <c r="L229" s="144"/>
      <c r="M229" s="143"/>
      <c r="N229" s="145"/>
      <c r="O229" s="146"/>
      <c r="P229" s="144"/>
      <c r="Q229" s="147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  <c r="AC229" s="148"/>
      <c r="AD229" s="149"/>
      <c r="AE229" s="150"/>
      <c r="AF229" s="151"/>
      <c r="AG229" s="152"/>
      <c r="AH229" s="149"/>
    </row>
    <row r="230" customFormat="false" ht="12" hidden="false" customHeight="false" outlineLevel="0" collapsed="false">
      <c r="A230" s="134"/>
      <c r="B230" s="135"/>
      <c r="C230" s="143"/>
      <c r="D230" s="143"/>
      <c r="E230" s="143"/>
      <c r="F230" s="143"/>
      <c r="G230" s="143"/>
      <c r="H230" s="143"/>
      <c r="I230" s="143"/>
      <c r="J230" s="143"/>
      <c r="K230" s="143"/>
      <c r="L230" s="144"/>
      <c r="M230" s="143"/>
      <c r="N230" s="145"/>
      <c r="O230" s="146"/>
      <c r="P230" s="144"/>
      <c r="Q230" s="147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  <c r="AC230" s="148"/>
      <c r="AD230" s="149"/>
      <c r="AE230" s="150"/>
      <c r="AF230" s="151"/>
      <c r="AG230" s="152"/>
      <c r="AH230" s="149"/>
    </row>
    <row r="231" customFormat="false" ht="12" hidden="false" customHeight="false" outlineLevel="0" collapsed="false">
      <c r="A231" s="134"/>
      <c r="B231" s="135"/>
      <c r="C231" s="143"/>
      <c r="D231" s="143"/>
      <c r="E231" s="143"/>
      <c r="F231" s="143"/>
      <c r="G231" s="143"/>
      <c r="H231" s="143"/>
      <c r="I231" s="143"/>
      <c r="J231" s="143"/>
      <c r="K231" s="143"/>
      <c r="L231" s="144"/>
      <c r="M231" s="143"/>
      <c r="N231" s="145"/>
      <c r="O231" s="146"/>
      <c r="P231" s="144"/>
      <c r="Q231" s="147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  <c r="AC231" s="148"/>
      <c r="AD231" s="149"/>
      <c r="AE231" s="150"/>
      <c r="AF231" s="151"/>
      <c r="AG231" s="152"/>
      <c r="AH231" s="149"/>
    </row>
    <row r="232" customFormat="false" ht="12" hidden="false" customHeight="false" outlineLevel="0" collapsed="false">
      <c r="A232" s="134"/>
      <c r="B232" s="135"/>
      <c r="C232" s="143"/>
      <c r="D232" s="143"/>
      <c r="E232" s="143"/>
      <c r="F232" s="143"/>
      <c r="G232" s="143"/>
      <c r="H232" s="143"/>
      <c r="I232" s="143"/>
      <c r="J232" s="143"/>
      <c r="K232" s="143"/>
      <c r="L232" s="144"/>
      <c r="M232" s="143"/>
      <c r="N232" s="145"/>
      <c r="O232" s="146"/>
      <c r="P232" s="144"/>
      <c r="Q232" s="147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  <c r="AC232" s="148"/>
      <c r="AD232" s="149"/>
      <c r="AE232" s="150"/>
      <c r="AF232" s="151"/>
      <c r="AG232" s="152"/>
      <c r="AH232" s="149"/>
    </row>
    <row r="233" customFormat="false" ht="12" hidden="false" customHeight="false" outlineLevel="0" collapsed="false">
      <c r="A233" s="134"/>
      <c r="B233" s="135"/>
      <c r="C233" s="143"/>
      <c r="D233" s="143"/>
      <c r="E233" s="143"/>
      <c r="F233" s="143"/>
      <c r="G233" s="143"/>
      <c r="H233" s="143"/>
      <c r="I233" s="143"/>
      <c r="J233" s="143"/>
      <c r="K233" s="143"/>
      <c r="L233" s="144"/>
      <c r="M233" s="143"/>
      <c r="N233" s="145"/>
      <c r="O233" s="146"/>
      <c r="P233" s="144"/>
      <c r="Q233" s="147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  <c r="AC233" s="148"/>
      <c r="AD233" s="149"/>
      <c r="AE233" s="150"/>
      <c r="AF233" s="151"/>
      <c r="AG233" s="152"/>
      <c r="AH233" s="149"/>
    </row>
    <row r="234" customFormat="false" ht="12" hidden="false" customHeight="false" outlineLevel="0" collapsed="false">
      <c r="A234" s="134"/>
      <c r="B234" s="135"/>
      <c r="C234" s="143"/>
      <c r="D234" s="143"/>
      <c r="E234" s="143"/>
      <c r="F234" s="143"/>
      <c r="G234" s="143"/>
      <c r="H234" s="143"/>
      <c r="I234" s="143"/>
      <c r="J234" s="143"/>
      <c r="K234" s="143"/>
      <c r="L234" s="144"/>
      <c r="M234" s="143"/>
      <c r="N234" s="145"/>
      <c r="O234" s="146"/>
      <c r="P234" s="144"/>
      <c r="Q234" s="147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  <c r="AC234" s="148"/>
      <c r="AD234" s="149"/>
      <c r="AE234" s="150"/>
      <c r="AF234" s="151"/>
      <c r="AG234" s="152"/>
      <c r="AH234" s="149"/>
    </row>
    <row r="235" customFormat="false" ht="12" hidden="false" customHeight="false" outlineLevel="0" collapsed="false">
      <c r="A235" s="134"/>
      <c r="B235" s="135"/>
      <c r="C235" s="143"/>
      <c r="D235" s="143"/>
      <c r="E235" s="143"/>
      <c r="F235" s="143"/>
      <c r="G235" s="143"/>
      <c r="H235" s="143"/>
      <c r="I235" s="143"/>
      <c r="J235" s="143"/>
      <c r="K235" s="143"/>
      <c r="L235" s="144"/>
      <c r="M235" s="143"/>
      <c r="N235" s="145"/>
      <c r="O235" s="146"/>
      <c r="P235" s="144"/>
      <c r="Q235" s="147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  <c r="AC235" s="148"/>
      <c r="AD235" s="149"/>
      <c r="AE235" s="150"/>
      <c r="AF235" s="151"/>
      <c r="AG235" s="152"/>
      <c r="AH235" s="149"/>
    </row>
    <row r="236" customFormat="false" ht="12" hidden="false" customHeight="false" outlineLevel="0" collapsed="false">
      <c r="A236" s="134"/>
      <c r="B236" s="135"/>
      <c r="C236" s="143"/>
      <c r="D236" s="143"/>
      <c r="E236" s="143"/>
      <c r="F236" s="143"/>
      <c r="G236" s="143"/>
      <c r="H236" s="143"/>
      <c r="I236" s="143"/>
      <c r="J236" s="143"/>
      <c r="K236" s="143"/>
      <c r="L236" s="144"/>
      <c r="M236" s="143"/>
      <c r="N236" s="145"/>
      <c r="O236" s="146"/>
      <c r="P236" s="144"/>
      <c r="Q236" s="147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  <c r="AC236" s="148"/>
      <c r="AD236" s="149"/>
      <c r="AE236" s="150"/>
      <c r="AF236" s="151"/>
      <c r="AG236" s="152"/>
      <c r="AH236" s="149"/>
    </row>
    <row r="237" customFormat="false" ht="12" hidden="false" customHeight="false" outlineLevel="0" collapsed="false">
      <c r="A237" s="134"/>
      <c r="B237" s="135"/>
      <c r="C237" s="143"/>
      <c r="D237" s="143"/>
      <c r="E237" s="143"/>
      <c r="F237" s="143"/>
      <c r="G237" s="143"/>
      <c r="H237" s="143"/>
      <c r="I237" s="143"/>
      <c r="J237" s="143"/>
      <c r="K237" s="143"/>
      <c r="L237" s="144"/>
      <c r="M237" s="143"/>
      <c r="N237" s="145"/>
      <c r="O237" s="146"/>
      <c r="P237" s="144"/>
      <c r="Q237" s="147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9"/>
      <c r="AE237" s="150"/>
      <c r="AF237" s="151"/>
      <c r="AG237" s="152"/>
      <c r="AH237" s="149"/>
    </row>
    <row r="238" customFormat="false" ht="12" hidden="false" customHeight="false" outlineLevel="0" collapsed="false">
      <c r="A238" s="134"/>
      <c r="B238" s="135"/>
      <c r="C238" s="143"/>
      <c r="D238" s="143"/>
      <c r="E238" s="143"/>
      <c r="F238" s="143"/>
      <c r="G238" s="143"/>
      <c r="H238" s="143"/>
      <c r="I238" s="143"/>
      <c r="J238" s="143"/>
      <c r="K238" s="143"/>
      <c r="L238" s="144"/>
      <c r="M238" s="143"/>
      <c r="N238" s="145"/>
      <c r="O238" s="146"/>
      <c r="P238" s="144"/>
      <c r="Q238" s="147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  <c r="AC238" s="148"/>
      <c r="AD238" s="149"/>
      <c r="AE238" s="150"/>
      <c r="AF238" s="151"/>
      <c r="AG238" s="152"/>
      <c r="AH238" s="149"/>
    </row>
    <row r="239" customFormat="false" ht="12" hidden="false" customHeight="false" outlineLevel="0" collapsed="false">
      <c r="A239" s="134"/>
      <c r="B239" s="135"/>
      <c r="C239" s="143"/>
      <c r="D239" s="143"/>
      <c r="E239" s="143"/>
      <c r="F239" s="143"/>
      <c r="G239" s="143"/>
      <c r="H239" s="143"/>
      <c r="I239" s="143"/>
      <c r="J239" s="143"/>
      <c r="K239" s="143"/>
      <c r="L239" s="144"/>
      <c r="M239" s="143"/>
      <c r="N239" s="145"/>
      <c r="O239" s="146"/>
      <c r="P239" s="144"/>
      <c r="Q239" s="147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149"/>
      <c r="AE239" s="150"/>
      <c r="AF239" s="151"/>
      <c r="AG239" s="152"/>
      <c r="AH239" s="149"/>
    </row>
    <row r="240" customFormat="false" ht="12" hidden="false" customHeight="false" outlineLevel="0" collapsed="false">
      <c r="A240" s="134"/>
      <c r="B240" s="135"/>
      <c r="C240" s="143"/>
      <c r="D240" s="143"/>
      <c r="E240" s="143"/>
      <c r="F240" s="143"/>
      <c r="G240" s="143"/>
      <c r="H240" s="143"/>
      <c r="I240" s="143"/>
      <c r="J240" s="143"/>
      <c r="K240" s="143"/>
      <c r="L240" s="144"/>
      <c r="M240" s="143"/>
      <c r="N240" s="145"/>
      <c r="O240" s="146"/>
      <c r="P240" s="144"/>
      <c r="Q240" s="147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  <c r="AC240" s="148"/>
      <c r="AD240" s="149"/>
      <c r="AE240" s="150"/>
      <c r="AF240" s="151"/>
      <c r="AG240" s="152"/>
      <c r="AH240" s="149"/>
    </row>
    <row r="241" customFormat="false" ht="12" hidden="false" customHeight="false" outlineLevel="0" collapsed="false">
      <c r="A241" s="134"/>
      <c r="B241" s="135"/>
      <c r="C241" s="143"/>
      <c r="D241" s="143"/>
      <c r="E241" s="143"/>
      <c r="F241" s="143"/>
      <c r="G241" s="143"/>
      <c r="H241" s="143"/>
      <c r="I241" s="143"/>
      <c r="J241" s="143"/>
      <c r="K241" s="143"/>
      <c r="L241" s="144"/>
      <c r="M241" s="143"/>
      <c r="N241" s="145"/>
      <c r="O241" s="146"/>
      <c r="P241" s="144"/>
      <c r="Q241" s="147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  <c r="AC241" s="148"/>
      <c r="AD241" s="149"/>
      <c r="AE241" s="150"/>
      <c r="AF241" s="151"/>
      <c r="AG241" s="152"/>
      <c r="AH241" s="149"/>
    </row>
    <row r="242" customFormat="false" ht="12" hidden="false" customHeight="false" outlineLevel="0" collapsed="false">
      <c r="A242" s="134"/>
      <c r="B242" s="135"/>
      <c r="C242" s="143"/>
      <c r="D242" s="143"/>
      <c r="E242" s="143"/>
      <c r="F242" s="143"/>
      <c r="G242" s="143"/>
      <c r="H242" s="143"/>
      <c r="I242" s="143"/>
      <c r="J242" s="143"/>
      <c r="K242" s="143"/>
      <c r="L242" s="144"/>
      <c r="M242" s="143"/>
      <c r="N242" s="145"/>
      <c r="O242" s="146"/>
      <c r="P242" s="144"/>
      <c r="Q242" s="147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  <c r="AC242" s="148"/>
      <c r="AD242" s="149"/>
      <c r="AE242" s="150"/>
      <c r="AF242" s="151"/>
      <c r="AG242" s="152"/>
      <c r="AH242" s="149"/>
    </row>
    <row r="243" customFormat="false" ht="12" hidden="false" customHeight="false" outlineLevel="0" collapsed="false">
      <c r="A243" s="134"/>
      <c r="B243" s="135"/>
      <c r="C243" s="143"/>
      <c r="D243" s="143"/>
      <c r="E243" s="143"/>
      <c r="F243" s="143"/>
      <c r="G243" s="143"/>
      <c r="H243" s="143"/>
      <c r="I243" s="143"/>
      <c r="J243" s="143"/>
      <c r="K243" s="143"/>
      <c r="L243" s="144"/>
      <c r="M243" s="143"/>
      <c r="N243" s="145"/>
      <c r="O243" s="146"/>
      <c r="P243" s="144"/>
      <c r="Q243" s="147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  <c r="AC243" s="148"/>
      <c r="AD243" s="149"/>
      <c r="AE243" s="150"/>
      <c r="AF243" s="151"/>
      <c r="AG243" s="152"/>
      <c r="AH243" s="149"/>
    </row>
    <row r="244" customFormat="false" ht="12" hidden="false" customHeight="false" outlineLevel="0" collapsed="false">
      <c r="A244" s="134"/>
      <c r="B244" s="135"/>
      <c r="C244" s="143"/>
      <c r="D244" s="143"/>
      <c r="E244" s="143"/>
      <c r="F244" s="143"/>
      <c r="G244" s="143"/>
      <c r="H244" s="143"/>
      <c r="I244" s="143"/>
      <c r="J244" s="143"/>
      <c r="K244" s="143"/>
      <c r="L244" s="144"/>
      <c r="M244" s="143"/>
      <c r="N244" s="145"/>
      <c r="O244" s="146"/>
      <c r="P244" s="144"/>
      <c r="Q244" s="147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  <c r="AC244" s="148"/>
      <c r="AD244" s="149"/>
      <c r="AE244" s="150"/>
      <c r="AF244" s="151"/>
      <c r="AG244" s="152"/>
      <c r="AH244" s="149"/>
    </row>
    <row r="245" customFormat="false" ht="12" hidden="false" customHeight="false" outlineLevel="0" collapsed="false">
      <c r="A245" s="134"/>
      <c r="B245" s="135"/>
      <c r="C245" s="143"/>
      <c r="D245" s="143"/>
      <c r="E245" s="143"/>
      <c r="F245" s="143"/>
      <c r="G245" s="143"/>
      <c r="H245" s="143"/>
      <c r="I245" s="143"/>
      <c r="J245" s="143"/>
      <c r="K245" s="143"/>
      <c r="L245" s="144"/>
      <c r="M245" s="143"/>
      <c r="N245" s="145"/>
      <c r="O245" s="146"/>
      <c r="P245" s="144"/>
      <c r="Q245" s="147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  <c r="AC245" s="148"/>
      <c r="AD245" s="149"/>
      <c r="AE245" s="150"/>
      <c r="AF245" s="151"/>
      <c r="AG245" s="152"/>
      <c r="AH245" s="149"/>
    </row>
    <row r="246" customFormat="false" ht="12" hidden="false" customHeight="false" outlineLevel="0" collapsed="false">
      <c r="A246" s="134"/>
      <c r="B246" s="135"/>
      <c r="C246" s="143"/>
      <c r="D246" s="143"/>
      <c r="E246" s="143"/>
      <c r="F246" s="143"/>
      <c r="G246" s="143"/>
      <c r="H246" s="143"/>
      <c r="I246" s="143"/>
      <c r="J246" s="143"/>
      <c r="K246" s="143"/>
      <c r="L246" s="144"/>
      <c r="M246" s="143"/>
      <c r="N246" s="145"/>
      <c r="O246" s="146"/>
      <c r="P246" s="144"/>
      <c r="Q246" s="147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  <c r="AC246" s="148"/>
      <c r="AD246" s="149"/>
      <c r="AE246" s="150"/>
      <c r="AF246" s="151"/>
      <c r="AG246" s="152"/>
      <c r="AH246" s="149"/>
    </row>
    <row r="247" customFormat="false" ht="12" hidden="false" customHeight="false" outlineLevel="0" collapsed="false">
      <c r="A247" s="134"/>
      <c r="B247" s="135"/>
      <c r="C247" s="143"/>
      <c r="D247" s="143"/>
      <c r="E247" s="143"/>
      <c r="F247" s="143"/>
      <c r="G247" s="143"/>
      <c r="H247" s="143"/>
      <c r="I247" s="143"/>
      <c r="J247" s="143"/>
      <c r="K247" s="143"/>
      <c r="L247" s="144"/>
      <c r="M247" s="143"/>
      <c r="N247" s="145"/>
      <c r="O247" s="146"/>
      <c r="P247" s="144"/>
      <c r="Q247" s="147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  <c r="AD247" s="149"/>
      <c r="AE247" s="150"/>
      <c r="AF247" s="151"/>
      <c r="AG247" s="152"/>
      <c r="AH247" s="149"/>
    </row>
    <row r="248" customFormat="false" ht="12" hidden="false" customHeight="false" outlineLevel="0" collapsed="false">
      <c r="A248" s="134"/>
      <c r="B248" s="135"/>
      <c r="C248" s="143"/>
      <c r="D248" s="143"/>
      <c r="E248" s="143"/>
      <c r="F248" s="143"/>
      <c r="G248" s="143"/>
      <c r="H248" s="143"/>
      <c r="I248" s="143"/>
      <c r="J248" s="143"/>
      <c r="K248" s="143"/>
      <c r="L248" s="144"/>
      <c r="M248" s="143"/>
      <c r="N248" s="145"/>
      <c r="O248" s="146"/>
      <c r="P248" s="144"/>
      <c r="Q248" s="147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  <c r="AC248" s="148"/>
      <c r="AD248" s="149"/>
      <c r="AE248" s="150"/>
      <c r="AF248" s="151"/>
      <c r="AG248" s="152"/>
      <c r="AH248" s="149"/>
    </row>
    <row r="249" customFormat="false" ht="12" hidden="false" customHeight="false" outlineLevel="0" collapsed="false">
      <c r="A249" s="134"/>
      <c r="B249" s="135"/>
      <c r="C249" s="143"/>
      <c r="D249" s="143"/>
      <c r="E249" s="143"/>
      <c r="F249" s="143"/>
      <c r="G249" s="143"/>
      <c r="H249" s="143"/>
      <c r="I249" s="143"/>
      <c r="J249" s="143"/>
      <c r="K249" s="143"/>
      <c r="L249" s="144"/>
      <c r="M249" s="143"/>
      <c r="N249" s="145"/>
      <c r="O249" s="146"/>
      <c r="P249" s="144"/>
      <c r="Q249" s="147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  <c r="AC249" s="148"/>
      <c r="AD249" s="149"/>
      <c r="AE249" s="150"/>
      <c r="AF249" s="151"/>
      <c r="AG249" s="152"/>
      <c r="AH249" s="149"/>
    </row>
    <row r="250" customFormat="false" ht="12" hidden="false" customHeight="false" outlineLevel="0" collapsed="false">
      <c r="A250" s="134"/>
      <c r="B250" s="135"/>
      <c r="C250" s="143"/>
      <c r="D250" s="143"/>
      <c r="E250" s="143"/>
      <c r="F250" s="143"/>
      <c r="G250" s="143"/>
      <c r="H250" s="143"/>
      <c r="I250" s="143"/>
      <c r="J250" s="143"/>
      <c r="K250" s="143"/>
      <c r="L250" s="144"/>
      <c r="M250" s="143"/>
      <c r="N250" s="145"/>
      <c r="O250" s="146"/>
      <c r="P250" s="144"/>
      <c r="Q250" s="147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  <c r="AC250" s="148"/>
      <c r="AD250" s="149"/>
      <c r="AE250" s="150"/>
      <c r="AF250" s="151"/>
      <c r="AG250" s="152"/>
      <c r="AH250" s="149"/>
    </row>
    <row r="251" customFormat="false" ht="12" hidden="false" customHeight="false" outlineLevel="0" collapsed="false">
      <c r="A251" s="134"/>
      <c r="B251" s="135"/>
      <c r="C251" s="143"/>
      <c r="D251" s="143"/>
      <c r="E251" s="143"/>
      <c r="F251" s="143"/>
      <c r="G251" s="143"/>
      <c r="H251" s="143"/>
      <c r="I251" s="143"/>
      <c r="J251" s="143"/>
      <c r="K251" s="143"/>
      <c r="L251" s="144"/>
      <c r="M251" s="143"/>
      <c r="N251" s="145"/>
      <c r="O251" s="146"/>
      <c r="P251" s="144"/>
      <c r="Q251" s="147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  <c r="AC251" s="148"/>
      <c r="AD251" s="149"/>
      <c r="AE251" s="150"/>
      <c r="AF251" s="151"/>
      <c r="AG251" s="152"/>
      <c r="AH251" s="149"/>
    </row>
    <row r="252" customFormat="false" ht="12" hidden="false" customHeight="false" outlineLevel="0" collapsed="false">
      <c r="A252" s="134"/>
      <c r="B252" s="135"/>
      <c r="C252" s="143"/>
      <c r="D252" s="143"/>
      <c r="E252" s="143"/>
      <c r="F252" s="143"/>
      <c r="G252" s="143"/>
      <c r="H252" s="143"/>
      <c r="I252" s="143"/>
      <c r="J252" s="143"/>
      <c r="K252" s="143"/>
      <c r="L252" s="144"/>
      <c r="M252" s="143"/>
      <c r="N252" s="145"/>
      <c r="O252" s="146"/>
      <c r="P252" s="144"/>
      <c r="Q252" s="147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  <c r="AC252" s="148"/>
      <c r="AD252" s="149"/>
      <c r="AE252" s="150"/>
      <c r="AF252" s="151"/>
      <c r="AG252" s="152"/>
      <c r="AH252" s="149"/>
    </row>
    <row r="253" customFormat="false" ht="12" hidden="false" customHeight="false" outlineLevel="0" collapsed="false">
      <c r="A253" s="134"/>
      <c r="B253" s="135"/>
      <c r="C253" s="143"/>
      <c r="D253" s="143"/>
      <c r="E253" s="143"/>
      <c r="F253" s="143"/>
      <c r="G253" s="143"/>
      <c r="H253" s="143"/>
      <c r="I253" s="143"/>
      <c r="J253" s="143"/>
      <c r="K253" s="143"/>
      <c r="L253" s="144"/>
      <c r="M253" s="143"/>
      <c r="N253" s="145"/>
      <c r="O253" s="146"/>
      <c r="P253" s="144"/>
      <c r="Q253" s="147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  <c r="AC253" s="148"/>
      <c r="AD253" s="149"/>
      <c r="AE253" s="150"/>
      <c r="AF253" s="151"/>
      <c r="AG253" s="152"/>
      <c r="AH253" s="149"/>
    </row>
    <row r="254" customFormat="false" ht="12" hidden="false" customHeight="false" outlineLevel="0" collapsed="false">
      <c r="A254" s="134"/>
      <c r="B254" s="135"/>
      <c r="C254" s="143"/>
      <c r="D254" s="143"/>
      <c r="E254" s="143"/>
      <c r="F254" s="143"/>
      <c r="G254" s="143"/>
      <c r="H254" s="143"/>
      <c r="I254" s="143"/>
      <c r="J254" s="143"/>
      <c r="K254" s="143"/>
      <c r="L254" s="144"/>
      <c r="M254" s="143"/>
      <c r="N254" s="145"/>
      <c r="O254" s="146"/>
      <c r="P254" s="144"/>
      <c r="Q254" s="147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  <c r="AC254" s="148"/>
      <c r="AD254" s="149"/>
      <c r="AE254" s="150"/>
      <c r="AF254" s="151"/>
      <c r="AG254" s="152"/>
      <c r="AH254" s="149"/>
    </row>
    <row r="255" customFormat="false" ht="12" hidden="false" customHeight="false" outlineLevel="0" collapsed="false">
      <c r="A255" s="134"/>
      <c r="B255" s="135"/>
      <c r="C255" s="143"/>
      <c r="D255" s="143"/>
      <c r="E255" s="143"/>
      <c r="F255" s="143"/>
      <c r="G255" s="143"/>
      <c r="H255" s="143"/>
      <c r="I255" s="143"/>
      <c r="J255" s="143"/>
      <c r="K255" s="143"/>
      <c r="L255" s="144"/>
      <c r="M255" s="143"/>
      <c r="N255" s="145"/>
      <c r="O255" s="146"/>
      <c r="P255" s="144"/>
      <c r="Q255" s="147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  <c r="AC255" s="148"/>
      <c r="AD255" s="149"/>
      <c r="AE255" s="150"/>
      <c r="AF255" s="151"/>
      <c r="AG255" s="152"/>
      <c r="AH255" s="149"/>
    </row>
    <row r="256" customFormat="false" ht="12" hidden="false" customHeight="false" outlineLevel="0" collapsed="false">
      <c r="A256" s="134"/>
      <c r="B256" s="135"/>
      <c r="C256" s="143"/>
      <c r="D256" s="143"/>
      <c r="E256" s="143"/>
      <c r="F256" s="143"/>
      <c r="G256" s="143"/>
      <c r="H256" s="143"/>
      <c r="I256" s="143"/>
      <c r="J256" s="143"/>
      <c r="K256" s="143"/>
      <c r="L256" s="144"/>
      <c r="M256" s="143"/>
      <c r="N256" s="145"/>
      <c r="O256" s="146"/>
      <c r="P256" s="144"/>
      <c r="Q256" s="147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  <c r="AC256" s="148"/>
      <c r="AD256" s="149"/>
      <c r="AE256" s="150"/>
      <c r="AF256" s="151"/>
      <c r="AG256" s="152"/>
      <c r="AH256" s="149"/>
    </row>
    <row r="257" customFormat="false" ht="12" hidden="false" customHeight="false" outlineLevel="0" collapsed="false">
      <c r="A257" s="134"/>
      <c r="B257" s="135"/>
      <c r="C257" s="143"/>
      <c r="D257" s="143"/>
      <c r="E257" s="143"/>
      <c r="F257" s="143"/>
      <c r="G257" s="143"/>
      <c r="H257" s="143"/>
      <c r="I257" s="143"/>
      <c r="J257" s="143"/>
      <c r="K257" s="143"/>
      <c r="L257" s="144"/>
      <c r="M257" s="143"/>
      <c r="N257" s="145"/>
      <c r="O257" s="146"/>
      <c r="P257" s="144"/>
      <c r="Q257" s="147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  <c r="AC257" s="148"/>
      <c r="AD257" s="149"/>
      <c r="AE257" s="150"/>
      <c r="AF257" s="151"/>
      <c r="AG257" s="152"/>
      <c r="AH257" s="149"/>
    </row>
    <row r="258" customFormat="false" ht="12" hidden="false" customHeight="false" outlineLevel="0" collapsed="false">
      <c r="A258" s="134"/>
      <c r="B258" s="135"/>
      <c r="C258" s="143"/>
      <c r="D258" s="143"/>
      <c r="E258" s="143"/>
      <c r="F258" s="143"/>
      <c r="G258" s="143"/>
      <c r="H258" s="143"/>
      <c r="I258" s="143"/>
      <c r="J258" s="143"/>
      <c r="K258" s="143"/>
      <c r="L258" s="144"/>
      <c r="M258" s="143"/>
      <c r="N258" s="145"/>
      <c r="O258" s="146"/>
      <c r="P258" s="144"/>
      <c r="Q258" s="147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  <c r="AC258" s="148"/>
      <c r="AD258" s="149"/>
      <c r="AE258" s="150"/>
      <c r="AF258" s="151"/>
      <c r="AG258" s="152"/>
      <c r="AH258" s="149"/>
    </row>
    <row r="259" customFormat="false" ht="12" hidden="false" customHeight="false" outlineLevel="0" collapsed="false">
      <c r="A259" s="134"/>
      <c r="B259" s="135"/>
      <c r="C259" s="143"/>
      <c r="D259" s="143"/>
      <c r="E259" s="143"/>
      <c r="F259" s="143"/>
      <c r="G259" s="143"/>
      <c r="H259" s="143"/>
      <c r="I259" s="143"/>
      <c r="J259" s="143"/>
      <c r="K259" s="143"/>
      <c r="L259" s="144"/>
      <c r="M259" s="143"/>
      <c r="N259" s="145"/>
      <c r="O259" s="146"/>
      <c r="P259" s="144"/>
      <c r="Q259" s="147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  <c r="AC259" s="148"/>
      <c r="AD259" s="149"/>
      <c r="AE259" s="150"/>
      <c r="AF259" s="151"/>
      <c r="AG259" s="152"/>
      <c r="AH259" s="149"/>
    </row>
    <row r="260" customFormat="false" ht="12" hidden="false" customHeight="false" outlineLevel="0" collapsed="false">
      <c r="A260" s="134"/>
      <c r="B260" s="135"/>
      <c r="C260" s="143"/>
      <c r="D260" s="143"/>
      <c r="E260" s="143"/>
      <c r="F260" s="143"/>
      <c r="G260" s="143"/>
      <c r="H260" s="143"/>
      <c r="I260" s="143"/>
      <c r="J260" s="143"/>
      <c r="K260" s="143"/>
      <c r="L260" s="144"/>
      <c r="M260" s="143"/>
      <c r="N260" s="145"/>
      <c r="O260" s="146"/>
      <c r="P260" s="144"/>
      <c r="Q260" s="147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  <c r="AC260" s="148"/>
      <c r="AD260" s="149"/>
      <c r="AE260" s="150"/>
      <c r="AF260" s="151"/>
      <c r="AG260" s="152"/>
      <c r="AH260" s="149"/>
    </row>
    <row r="261" customFormat="false" ht="12" hidden="false" customHeight="false" outlineLevel="0" collapsed="false">
      <c r="A261" s="134"/>
      <c r="B261" s="135"/>
      <c r="C261" s="143"/>
      <c r="D261" s="143"/>
      <c r="E261" s="143"/>
      <c r="F261" s="143"/>
      <c r="G261" s="143"/>
      <c r="H261" s="143"/>
      <c r="I261" s="143"/>
      <c r="J261" s="143"/>
      <c r="K261" s="143"/>
      <c r="L261" s="144"/>
      <c r="M261" s="143"/>
      <c r="N261" s="145"/>
      <c r="O261" s="146"/>
      <c r="P261" s="144"/>
      <c r="Q261" s="147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  <c r="AC261" s="148"/>
      <c r="AD261" s="149"/>
      <c r="AE261" s="150"/>
      <c r="AF261" s="151"/>
      <c r="AG261" s="152"/>
      <c r="AH261" s="149"/>
    </row>
    <row r="262" customFormat="false" ht="12" hidden="false" customHeight="false" outlineLevel="0" collapsed="false">
      <c r="A262" s="134"/>
      <c r="B262" s="135"/>
      <c r="C262" s="143"/>
      <c r="D262" s="143"/>
      <c r="E262" s="143"/>
      <c r="F262" s="143"/>
      <c r="G262" s="143"/>
      <c r="H262" s="143"/>
      <c r="I262" s="143"/>
      <c r="J262" s="143"/>
      <c r="K262" s="143"/>
      <c r="L262" s="144"/>
      <c r="M262" s="143"/>
      <c r="N262" s="145"/>
      <c r="O262" s="146"/>
      <c r="P262" s="144"/>
      <c r="Q262" s="147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  <c r="AC262" s="148"/>
      <c r="AD262" s="149"/>
      <c r="AE262" s="150"/>
      <c r="AF262" s="151"/>
      <c r="AG262" s="152"/>
      <c r="AH262" s="149"/>
    </row>
    <row r="263" customFormat="false" ht="12" hidden="false" customHeight="false" outlineLevel="0" collapsed="false">
      <c r="A263" s="134"/>
      <c r="B263" s="135"/>
      <c r="C263" s="143"/>
      <c r="D263" s="143"/>
      <c r="E263" s="143"/>
      <c r="F263" s="143"/>
      <c r="G263" s="143"/>
      <c r="H263" s="143"/>
      <c r="I263" s="143"/>
      <c r="J263" s="143"/>
      <c r="K263" s="143"/>
      <c r="L263" s="144"/>
      <c r="M263" s="143"/>
      <c r="N263" s="145"/>
      <c r="O263" s="146"/>
      <c r="P263" s="144"/>
      <c r="Q263" s="147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  <c r="AC263" s="148"/>
      <c r="AD263" s="149"/>
      <c r="AE263" s="150"/>
      <c r="AF263" s="151"/>
      <c r="AG263" s="152"/>
      <c r="AH263" s="149"/>
    </row>
    <row r="264" customFormat="false" ht="12" hidden="false" customHeight="false" outlineLevel="0" collapsed="false">
      <c r="A264" s="134"/>
      <c r="B264" s="135"/>
      <c r="C264" s="143"/>
      <c r="D264" s="143"/>
      <c r="E264" s="143"/>
      <c r="F264" s="143"/>
      <c r="G264" s="143"/>
      <c r="H264" s="143"/>
      <c r="I264" s="143"/>
      <c r="J264" s="143"/>
      <c r="K264" s="143"/>
      <c r="L264" s="144"/>
      <c r="M264" s="143"/>
      <c r="N264" s="145"/>
      <c r="O264" s="146"/>
      <c r="P264" s="144"/>
      <c r="Q264" s="147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  <c r="AC264" s="148"/>
      <c r="AD264" s="149"/>
      <c r="AE264" s="150"/>
      <c r="AF264" s="151"/>
      <c r="AG264" s="152"/>
      <c r="AH264" s="149"/>
    </row>
    <row r="265" customFormat="false" ht="12" hidden="false" customHeight="false" outlineLevel="0" collapsed="false">
      <c r="A265" s="134"/>
      <c r="B265" s="135"/>
      <c r="C265" s="143"/>
      <c r="D265" s="143"/>
      <c r="E265" s="143"/>
      <c r="F265" s="143"/>
      <c r="G265" s="143"/>
      <c r="H265" s="143"/>
      <c r="I265" s="143"/>
      <c r="J265" s="143"/>
      <c r="K265" s="143"/>
      <c r="L265" s="144"/>
      <c r="M265" s="143"/>
      <c r="N265" s="145"/>
      <c r="O265" s="146"/>
      <c r="P265" s="144"/>
      <c r="Q265" s="147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  <c r="AC265" s="148"/>
      <c r="AD265" s="149"/>
      <c r="AE265" s="150"/>
      <c r="AF265" s="151"/>
      <c r="AG265" s="152"/>
      <c r="AH265" s="149"/>
    </row>
    <row r="266" customFormat="false" ht="12" hidden="false" customHeight="false" outlineLevel="0" collapsed="false">
      <c r="A266" s="134"/>
      <c r="B266" s="135"/>
      <c r="C266" s="143"/>
      <c r="D266" s="143"/>
      <c r="E266" s="143"/>
      <c r="F266" s="143"/>
      <c r="G266" s="143"/>
      <c r="H266" s="143"/>
      <c r="I266" s="143"/>
      <c r="J266" s="143"/>
      <c r="K266" s="143"/>
      <c r="L266" s="144"/>
      <c r="M266" s="143"/>
      <c r="N266" s="145"/>
      <c r="O266" s="146"/>
      <c r="P266" s="144"/>
      <c r="Q266" s="147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  <c r="AC266" s="148"/>
      <c r="AD266" s="149"/>
      <c r="AE266" s="150"/>
      <c r="AF266" s="151"/>
      <c r="AG266" s="152"/>
      <c r="AH266" s="149"/>
    </row>
    <row r="267" customFormat="false" ht="12" hidden="false" customHeight="false" outlineLevel="0" collapsed="false">
      <c r="A267" s="134"/>
      <c r="B267" s="135"/>
      <c r="C267" s="143"/>
      <c r="D267" s="143"/>
      <c r="E267" s="143"/>
      <c r="F267" s="143"/>
      <c r="G267" s="143"/>
      <c r="H267" s="143"/>
      <c r="I267" s="143"/>
      <c r="J267" s="143"/>
      <c r="K267" s="143"/>
      <c r="L267" s="144"/>
      <c r="M267" s="143"/>
      <c r="N267" s="145"/>
      <c r="O267" s="146"/>
      <c r="P267" s="144"/>
      <c r="Q267" s="147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  <c r="AC267" s="148"/>
      <c r="AD267" s="149"/>
      <c r="AE267" s="150"/>
      <c r="AF267" s="151"/>
      <c r="AG267" s="152"/>
      <c r="AH267" s="149"/>
    </row>
    <row r="268" customFormat="false" ht="12" hidden="false" customHeight="false" outlineLevel="0" collapsed="false">
      <c r="A268" s="134"/>
      <c r="B268" s="135"/>
      <c r="C268" s="143"/>
      <c r="D268" s="143"/>
      <c r="E268" s="143"/>
      <c r="F268" s="143"/>
      <c r="G268" s="143"/>
      <c r="H268" s="143"/>
      <c r="I268" s="143"/>
      <c r="J268" s="143"/>
      <c r="K268" s="143"/>
      <c r="L268" s="144"/>
      <c r="M268" s="143"/>
      <c r="N268" s="145"/>
      <c r="O268" s="146"/>
      <c r="P268" s="144"/>
      <c r="Q268" s="147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  <c r="AC268" s="148"/>
      <c r="AD268" s="149"/>
      <c r="AE268" s="150"/>
      <c r="AF268" s="151"/>
      <c r="AG268" s="152"/>
      <c r="AH268" s="149"/>
    </row>
    <row r="269" customFormat="false" ht="12" hidden="false" customHeight="false" outlineLevel="0" collapsed="false">
      <c r="A269" s="134"/>
      <c r="B269" s="135"/>
      <c r="C269" s="143"/>
      <c r="D269" s="143"/>
      <c r="E269" s="143"/>
      <c r="F269" s="143"/>
      <c r="G269" s="143"/>
      <c r="H269" s="143"/>
      <c r="I269" s="143"/>
      <c r="J269" s="143"/>
      <c r="K269" s="143"/>
      <c r="L269" s="144"/>
      <c r="M269" s="143"/>
      <c r="N269" s="145"/>
      <c r="O269" s="146"/>
      <c r="P269" s="144"/>
      <c r="Q269" s="147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  <c r="AC269" s="148"/>
      <c r="AD269" s="149"/>
      <c r="AE269" s="150"/>
      <c r="AF269" s="151"/>
      <c r="AG269" s="152"/>
      <c r="AH269" s="149"/>
    </row>
    <row r="270" customFormat="false" ht="12" hidden="false" customHeight="false" outlineLevel="0" collapsed="false">
      <c r="A270" s="134"/>
      <c r="B270" s="135"/>
      <c r="C270" s="143"/>
      <c r="D270" s="143"/>
      <c r="E270" s="143"/>
      <c r="F270" s="143"/>
      <c r="G270" s="143"/>
      <c r="H270" s="143"/>
      <c r="I270" s="143"/>
      <c r="J270" s="143"/>
      <c r="K270" s="143"/>
      <c r="L270" s="144"/>
      <c r="M270" s="143"/>
      <c r="N270" s="145"/>
      <c r="O270" s="146"/>
      <c r="P270" s="144"/>
      <c r="Q270" s="147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  <c r="AC270" s="148"/>
      <c r="AD270" s="149"/>
      <c r="AE270" s="150"/>
      <c r="AF270" s="151"/>
      <c r="AG270" s="152"/>
      <c r="AH270" s="149"/>
    </row>
    <row r="271" customFormat="false" ht="12" hidden="false" customHeight="false" outlineLevel="0" collapsed="false">
      <c r="A271" s="134"/>
      <c r="B271" s="135"/>
      <c r="C271" s="143"/>
      <c r="D271" s="143"/>
      <c r="E271" s="143"/>
      <c r="F271" s="143"/>
      <c r="G271" s="143"/>
      <c r="H271" s="143"/>
      <c r="I271" s="143"/>
      <c r="J271" s="143"/>
      <c r="K271" s="143"/>
      <c r="L271" s="144"/>
      <c r="M271" s="143"/>
      <c r="N271" s="145"/>
      <c r="O271" s="146"/>
      <c r="P271" s="144"/>
      <c r="Q271" s="147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  <c r="AC271" s="148"/>
      <c r="AD271" s="149"/>
      <c r="AE271" s="150"/>
      <c r="AF271" s="151"/>
      <c r="AG271" s="152"/>
      <c r="AH271" s="149"/>
    </row>
    <row r="272" customFormat="false" ht="12" hidden="false" customHeight="false" outlineLevel="0" collapsed="false">
      <c r="A272" s="134"/>
      <c r="B272" s="135"/>
      <c r="C272" s="143"/>
      <c r="D272" s="143"/>
      <c r="E272" s="143"/>
      <c r="F272" s="143"/>
      <c r="G272" s="143"/>
      <c r="H272" s="143"/>
      <c r="I272" s="143"/>
      <c r="J272" s="143"/>
      <c r="K272" s="143"/>
      <c r="L272" s="144"/>
      <c r="M272" s="143"/>
      <c r="N272" s="145"/>
      <c r="O272" s="146"/>
      <c r="P272" s="144"/>
      <c r="Q272" s="147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  <c r="AC272" s="148"/>
      <c r="AD272" s="149"/>
      <c r="AE272" s="150"/>
      <c r="AF272" s="151"/>
      <c r="AG272" s="152"/>
      <c r="AH272" s="149"/>
    </row>
    <row r="273" customFormat="false" ht="12" hidden="false" customHeight="false" outlineLevel="0" collapsed="false">
      <c r="A273" s="134"/>
      <c r="B273" s="135"/>
      <c r="C273" s="143"/>
      <c r="D273" s="143"/>
      <c r="E273" s="143"/>
      <c r="F273" s="143"/>
      <c r="G273" s="143"/>
      <c r="H273" s="143"/>
      <c r="I273" s="143"/>
      <c r="J273" s="143"/>
      <c r="K273" s="143"/>
      <c r="L273" s="144"/>
      <c r="M273" s="143"/>
      <c r="N273" s="145"/>
      <c r="O273" s="146"/>
      <c r="P273" s="144"/>
      <c r="Q273" s="147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9"/>
      <c r="AE273" s="150"/>
      <c r="AF273" s="151"/>
      <c r="AG273" s="152"/>
      <c r="AH273" s="149"/>
    </row>
    <row r="274" customFormat="false" ht="12" hidden="false" customHeight="false" outlineLevel="0" collapsed="false">
      <c r="A274" s="134"/>
      <c r="B274" s="135"/>
      <c r="C274" s="143"/>
      <c r="D274" s="143"/>
      <c r="E274" s="143"/>
      <c r="F274" s="143"/>
      <c r="G274" s="143"/>
      <c r="H274" s="143"/>
      <c r="I274" s="143"/>
      <c r="J274" s="143"/>
      <c r="K274" s="143"/>
      <c r="L274" s="144"/>
      <c r="M274" s="143"/>
      <c r="N274" s="145"/>
      <c r="O274" s="146"/>
      <c r="P274" s="144"/>
      <c r="Q274" s="147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  <c r="AC274" s="148"/>
      <c r="AD274" s="149"/>
      <c r="AE274" s="150"/>
      <c r="AF274" s="151"/>
      <c r="AG274" s="152"/>
      <c r="AH274" s="149"/>
    </row>
    <row r="275" customFormat="false" ht="12" hidden="false" customHeight="false" outlineLevel="0" collapsed="false">
      <c r="A275" s="134"/>
      <c r="B275" s="135"/>
      <c r="C275" s="143"/>
      <c r="D275" s="143"/>
      <c r="E275" s="143"/>
      <c r="F275" s="143"/>
      <c r="G275" s="143"/>
      <c r="H275" s="143"/>
      <c r="I275" s="143"/>
      <c r="J275" s="143"/>
      <c r="K275" s="143"/>
      <c r="L275" s="144"/>
      <c r="M275" s="143"/>
      <c r="N275" s="145"/>
      <c r="O275" s="146"/>
      <c r="P275" s="144"/>
      <c r="Q275" s="147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  <c r="AC275" s="148"/>
      <c r="AD275" s="149"/>
      <c r="AE275" s="150"/>
      <c r="AF275" s="151"/>
      <c r="AG275" s="152"/>
      <c r="AH275" s="149"/>
    </row>
    <row r="276" customFormat="false" ht="12" hidden="false" customHeight="false" outlineLevel="0" collapsed="false">
      <c r="A276" s="134"/>
      <c r="B276" s="135"/>
      <c r="C276" s="143"/>
      <c r="D276" s="143"/>
      <c r="E276" s="143"/>
      <c r="F276" s="143"/>
      <c r="G276" s="143"/>
      <c r="H276" s="143"/>
      <c r="I276" s="143"/>
      <c r="J276" s="143"/>
      <c r="K276" s="143"/>
      <c r="L276" s="144"/>
      <c r="M276" s="143"/>
      <c r="N276" s="145"/>
      <c r="O276" s="146"/>
      <c r="P276" s="144"/>
      <c r="Q276" s="147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  <c r="AC276" s="148"/>
      <c r="AD276" s="149"/>
      <c r="AE276" s="150"/>
      <c r="AF276" s="151"/>
      <c r="AG276" s="152"/>
      <c r="AH276" s="149"/>
    </row>
    <row r="277" customFormat="false" ht="12" hidden="false" customHeight="false" outlineLevel="0" collapsed="false">
      <c r="A277" s="134"/>
      <c r="B277" s="135"/>
      <c r="C277" s="143"/>
      <c r="D277" s="143"/>
      <c r="E277" s="143"/>
      <c r="F277" s="143"/>
      <c r="G277" s="143"/>
      <c r="H277" s="143"/>
      <c r="I277" s="143"/>
      <c r="J277" s="143"/>
      <c r="K277" s="143"/>
      <c r="L277" s="144"/>
      <c r="M277" s="143"/>
      <c r="N277" s="145"/>
      <c r="O277" s="146"/>
      <c r="P277" s="144"/>
      <c r="Q277" s="147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  <c r="AC277" s="148"/>
      <c r="AD277" s="149"/>
      <c r="AE277" s="150"/>
      <c r="AF277" s="151"/>
      <c r="AG277" s="152"/>
      <c r="AH277" s="149"/>
    </row>
    <row r="278" customFormat="false" ht="12" hidden="false" customHeight="false" outlineLevel="0" collapsed="false">
      <c r="A278" s="134"/>
      <c r="B278" s="135"/>
      <c r="C278" s="143"/>
      <c r="D278" s="143"/>
      <c r="E278" s="143"/>
      <c r="F278" s="143"/>
      <c r="G278" s="143"/>
      <c r="H278" s="143"/>
      <c r="I278" s="143"/>
      <c r="J278" s="143"/>
      <c r="K278" s="143"/>
      <c r="L278" s="144"/>
      <c r="M278" s="143"/>
      <c r="N278" s="145"/>
      <c r="O278" s="146"/>
      <c r="P278" s="144"/>
      <c r="Q278" s="147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  <c r="AC278" s="148"/>
      <c r="AD278" s="149"/>
      <c r="AE278" s="150"/>
      <c r="AF278" s="151"/>
      <c r="AG278" s="152"/>
      <c r="AH278" s="149"/>
    </row>
    <row r="279" customFormat="false" ht="12" hidden="false" customHeight="false" outlineLevel="0" collapsed="false">
      <c r="A279" s="134"/>
      <c r="B279" s="135"/>
      <c r="C279" s="143"/>
      <c r="D279" s="143"/>
      <c r="E279" s="143"/>
      <c r="F279" s="143"/>
      <c r="G279" s="143"/>
      <c r="H279" s="143"/>
      <c r="I279" s="143"/>
      <c r="J279" s="143"/>
      <c r="K279" s="143"/>
      <c r="L279" s="144"/>
      <c r="M279" s="143"/>
      <c r="N279" s="145"/>
      <c r="O279" s="146"/>
      <c r="P279" s="144"/>
      <c r="Q279" s="147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9"/>
      <c r="AE279" s="150"/>
      <c r="AF279" s="151"/>
      <c r="AG279" s="152"/>
      <c r="AH279" s="149"/>
    </row>
    <row r="280" customFormat="false" ht="12" hidden="false" customHeight="false" outlineLevel="0" collapsed="false">
      <c r="A280" s="134"/>
      <c r="B280" s="135"/>
      <c r="C280" s="143"/>
      <c r="D280" s="143"/>
      <c r="E280" s="143"/>
      <c r="F280" s="143"/>
      <c r="G280" s="143"/>
      <c r="H280" s="143"/>
      <c r="I280" s="143"/>
      <c r="J280" s="143"/>
      <c r="K280" s="143"/>
      <c r="L280" s="144"/>
      <c r="M280" s="143"/>
      <c r="N280" s="145"/>
      <c r="O280" s="146"/>
      <c r="P280" s="144"/>
      <c r="Q280" s="147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  <c r="AC280" s="148"/>
      <c r="AD280" s="149"/>
      <c r="AE280" s="150"/>
      <c r="AF280" s="151"/>
      <c r="AG280" s="152"/>
      <c r="AH280" s="149"/>
    </row>
    <row r="281" customFormat="false" ht="12" hidden="false" customHeight="false" outlineLevel="0" collapsed="false">
      <c r="A281" s="134"/>
      <c r="B281" s="135"/>
      <c r="C281" s="143"/>
      <c r="D281" s="143"/>
      <c r="E281" s="143"/>
      <c r="F281" s="143"/>
      <c r="G281" s="143"/>
      <c r="H281" s="143"/>
      <c r="I281" s="143"/>
      <c r="J281" s="143"/>
      <c r="K281" s="143"/>
      <c r="L281" s="144"/>
      <c r="M281" s="143"/>
      <c r="N281" s="145"/>
      <c r="O281" s="146"/>
      <c r="P281" s="144"/>
      <c r="Q281" s="147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9"/>
      <c r="AE281" s="150"/>
      <c r="AF281" s="151"/>
      <c r="AG281" s="152"/>
      <c r="AH281" s="149"/>
    </row>
    <row r="282" customFormat="false" ht="12" hidden="false" customHeight="false" outlineLevel="0" collapsed="false">
      <c r="A282" s="134"/>
      <c r="B282" s="135"/>
      <c r="C282" s="143"/>
      <c r="D282" s="143"/>
      <c r="E282" s="143"/>
      <c r="F282" s="143"/>
      <c r="G282" s="143"/>
      <c r="H282" s="143"/>
      <c r="I282" s="143"/>
      <c r="J282" s="143"/>
      <c r="K282" s="143"/>
      <c r="L282" s="144"/>
      <c r="M282" s="143"/>
      <c r="N282" s="145"/>
      <c r="O282" s="146"/>
      <c r="P282" s="144"/>
      <c r="Q282" s="147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  <c r="AC282" s="148"/>
      <c r="AD282" s="149"/>
      <c r="AE282" s="150"/>
      <c r="AF282" s="151"/>
      <c r="AG282" s="152"/>
      <c r="AH282" s="149"/>
    </row>
    <row r="283" customFormat="false" ht="12" hidden="false" customHeight="false" outlineLevel="0" collapsed="false">
      <c r="A283" s="134"/>
      <c r="B283" s="135"/>
      <c r="C283" s="143"/>
      <c r="D283" s="143"/>
      <c r="E283" s="143"/>
      <c r="F283" s="143"/>
      <c r="G283" s="143"/>
      <c r="H283" s="143"/>
      <c r="I283" s="143"/>
      <c r="J283" s="143"/>
      <c r="K283" s="143"/>
      <c r="L283" s="144"/>
      <c r="M283" s="143"/>
      <c r="N283" s="145"/>
      <c r="O283" s="146"/>
      <c r="P283" s="144"/>
      <c r="Q283" s="147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  <c r="AC283" s="148"/>
      <c r="AD283" s="149"/>
      <c r="AE283" s="150"/>
      <c r="AF283" s="151"/>
      <c r="AG283" s="152"/>
      <c r="AH283" s="149"/>
    </row>
    <row r="284" customFormat="false" ht="12" hidden="false" customHeight="false" outlineLevel="0" collapsed="false">
      <c r="A284" s="134"/>
      <c r="B284" s="135"/>
      <c r="C284" s="143"/>
      <c r="D284" s="143"/>
      <c r="E284" s="143"/>
      <c r="F284" s="143"/>
      <c r="G284" s="143"/>
      <c r="H284" s="143"/>
      <c r="I284" s="143"/>
      <c r="J284" s="143"/>
      <c r="K284" s="143"/>
      <c r="L284" s="144"/>
      <c r="M284" s="143"/>
      <c r="N284" s="145"/>
      <c r="O284" s="146"/>
      <c r="P284" s="144"/>
      <c r="Q284" s="147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  <c r="AC284" s="148"/>
      <c r="AD284" s="149"/>
      <c r="AE284" s="150"/>
      <c r="AF284" s="151"/>
      <c r="AG284" s="152"/>
      <c r="AH284" s="149"/>
    </row>
    <row r="285" customFormat="false" ht="12" hidden="false" customHeight="false" outlineLevel="0" collapsed="false">
      <c r="A285" s="134"/>
      <c r="B285" s="135"/>
      <c r="C285" s="143"/>
      <c r="D285" s="143"/>
      <c r="E285" s="143"/>
      <c r="F285" s="143"/>
      <c r="G285" s="143"/>
      <c r="H285" s="143"/>
      <c r="I285" s="143"/>
      <c r="J285" s="143"/>
      <c r="K285" s="143"/>
      <c r="L285" s="144"/>
      <c r="M285" s="143"/>
      <c r="N285" s="145"/>
      <c r="O285" s="146"/>
      <c r="P285" s="144"/>
      <c r="Q285" s="147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  <c r="AC285" s="148"/>
      <c r="AD285" s="149"/>
      <c r="AE285" s="150"/>
      <c r="AF285" s="151"/>
      <c r="AG285" s="152"/>
      <c r="AH285" s="149"/>
    </row>
    <row r="286" customFormat="false" ht="12" hidden="false" customHeight="false" outlineLevel="0" collapsed="false">
      <c r="A286" s="134"/>
      <c r="B286" s="135"/>
      <c r="C286" s="143"/>
      <c r="D286" s="143"/>
      <c r="E286" s="143"/>
      <c r="F286" s="143"/>
      <c r="G286" s="143"/>
      <c r="H286" s="143"/>
      <c r="I286" s="143"/>
      <c r="J286" s="143"/>
      <c r="K286" s="143"/>
      <c r="L286" s="144"/>
      <c r="M286" s="143"/>
      <c r="N286" s="145"/>
      <c r="O286" s="146"/>
      <c r="P286" s="144"/>
      <c r="Q286" s="147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  <c r="AC286" s="148"/>
      <c r="AD286" s="149"/>
      <c r="AE286" s="150"/>
      <c r="AF286" s="151"/>
      <c r="AG286" s="152"/>
      <c r="AH286" s="149"/>
    </row>
    <row r="287" customFormat="false" ht="12" hidden="false" customHeight="false" outlineLevel="0" collapsed="false">
      <c r="A287" s="134"/>
      <c r="B287" s="135"/>
      <c r="C287" s="143"/>
      <c r="D287" s="143"/>
      <c r="E287" s="143"/>
      <c r="F287" s="143"/>
      <c r="G287" s="143"/>
      <c r="H287" s="143"/>
      <c r="I287" s="143"/>
      <c r="J287" s="143"/>
      <c r="K287" s="143"/>
      <c r="L287" s="144"/>
      <c r="M287" s="143"/>
      <c r="N287" s="145"/>
      <c r="O287" s="146"/>
      <c r="P287" s="144"/>
      <c r="Q287" s="147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  <c r="AC287" s="148"/>
      <c r="AD287" s="149"/>
      <c r="AE287" s="150"/>
      <c r="AF287" s="151"/>
      <c r="AG287" s="152"/>
      <c r="AH287" s="149"/>
    </row>
    <row r="288" customFormat="false" ht="12" hidden="false" customHeight="false" outlineLevel="0" collapsed="false">
      <c r="A288" s="134"/>
      <c r="B288" s="135"/>
      <c r="C288" s="143"/>
      <c r="D288" s="143"/>
      <c r="E288" s="143"/>
      <c r="F288" s="143"/>
      <c r="G288" s="143"/>
      <c r="H288" s="143"/>
      <c r="I288" s="143"/>
      <c r="J288" s="143"/>
      <c r="K288" s="143"/>
      <c r="L288" s="144"/>
      <c r="M288" s="143"/>
      <c r="N288" s="145"/>
      <c r="O288" s="146"/>
      <c r="P288" s="144"/>
      <c r="Q288" s="147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  <c r="AC288" s="148"/>
      <c r="AD288" s="149"/>
      <c r="AE288" s="150"/>
      <c r="AF288" s="151"/>
      <c r="AG288" s="152"/>
      <c r="AH288" s="149"/>
    </row>
    <row r="289" customFormat="false" ht="12" hidden="false" customHeight="false" outlineLevel="0" collapsed="false">
      <c r="A289" s="134"/>
      <c r="B289" s="135"/>
      <c r="C289" s="143"/>
      <c r="D289" s="143"/>
      <c r="E289" s="143"/>
      <c r="F289" s="143"/>
      <c r="G289" s="143"/>
      <c r="H289" s="143"/>
      <c r="I289" s="143"/>
      <c r="J289" s="143"/>
      <c r="K289" s="143"/>
      <c r="L289" s="144"/>
      <c r="M289" s="143"/>
      <c r="N289" s="145"/>
      <c r="O289" s="146"/>
      <c r="P289" s="144"/>
      <c r="Q289" s="147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  <c r="AC289" s="148"/>
      <c r="AD289" s="149"/>
      <c r="AE289" s="150"/>
      <c r="AF289" s="151"/>
      <c r="AG289" s="152"/>
      <c r="AH289" s="149"/>
    </row>
    <row r="290" customFormat="false" ht="12" hidden="false" customHeight="false" outlineLevel="0" collapsed="false">
      <c r="A290" s="134"/>
      <c r="B290" s="135"/>
      <c r="C290" s="143"/>
      <c r="D290" s="143"/>
      <c r="E290" s="143"/>
      <c r="F290" s="143"/>
      <c r="G290" s="143"/>
      <c r="H290" s="143"/>
      <c r="I290" s="143"/>
      <c r="J290" s="143"/>
      <c r="K290" s="143"/>
      <c r="L290" s="144"/>
      <c r="M290" s="143"/>
      <c r="N290" s="145"/>
      <c r="O290" s="146"/>
      <c r="P290" s="144"/>
      <c r="Q290" s="147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  <c r="AC290" s="148"/>
      <c r="AD290" s="149"/>
      <c r="AE290" s="150"/>
      <c r="AF290" s="151"/>
      <c r="AG290" s="152"/>
      <c r="AH290" s="149"/>
    </row>
    <row r="291" customFormat="false" ht="12" hidden="false" customHeight="false" outlineLevel="0" collapsed="false">
      <c r="A291" s="134"/>
      <c r="B291" s="135"/>
      <c r="C291" s="143"/>
      <c r="D291" s="143"/>
      <c r="E291" s="143"/>
      <c r="F291" s="143"/>
      <c r="G291" s="143"/>
      <c r="H291" s="143"/>
      <c r="I291" s="143"/>
      <c r="J291" s="143"/>
      <c r="K291" s="143"/>
      <c r="L291" s="144"/>
      <c r="M291" s="143"/>
      <c r="N291" s="145"/>
      <c r="O291" s="146"/>
      <c r="P291" s="144"/>
      <c r="Q291" s="147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  <c r="AC291" s="148"/>
      <c r="AD291" s="149"/>
      <c r="AE291" s="150"/>
      <c r="AF291" s="151"/>
      <c r="AG291" s="152"/>
      <c r="AH291" s="149"/>
    </row>
    <row r="292" customFormat="false" ht="12" hidden="false" customHeight="false" outlineLevel="0" collapsed="false">
      <c r="A292" s="134"/>
      <c r="B292" s="135"/>
      <c r="C292" s="143"/>
      <c r="D292" s="143"/>
      <c r="E292" s="143"/>
      <c r="F292" s="143"/>
      <c r="G292" s="143"/>
      <c r="H292" s="143"/>
      <c r="I292" s="143"/>
      <c r="J292" s="143"/>
      <c r="K292" s="143"/>
      <c r="L292" s="144"/>
      <c r="M292" s="143"/>
      <c r="N292" s="145"/>
      <c r="O292" s="146"/>
      <c r="P292" s="144"/>
      <c r="Q292" s="147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  <c r="AC292" s="148"/>
      <c r="AD292" s="149"/>
      <c r="AE292" s="150"/>
      <c r="AF292" s="151"/>
      <c r="AG292" s="152"/>
      <c r="AH292" s="149"/>
    </row>
    <row r="293" customFormat="false" ht="12" hidden="false" customHeight="false" outlineLevel="0" collapsed="false">
      <c r="A293" s="134"/>
      <c r="B293" s="135"/>
      <c r="C293" s="143"/>
      <c r="D293" s="143"/>
      <c r="E293" s="143"/>
      <c r="F293" s="143"/>
      <c r="G293" s="143"/>
      <c r="H293" s="143"/>
      <c r="I293" s="143"/>
      <c r="J293" s="143"/>
      <c r="K293" s="143"/>
      <c r="L293" s="144"/>
      <c r="M293" s="143"/>
      <c r="N293" s="145"/>
      <c r="O293" s="146"/>
      <c r="P293" s="144"/>
      <c r="Q293" s="147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  <c r="AC293" s="148"/>
      <c r="AD293" s="149"/>
      <c r="AE293" s="150"/>
      <c r="AF293" s="151"/>
      <c r="AG293" s="152"/>
      <c r="AH293" s="149"/>
    </row>
    <row r="294" customFormat="false" ht="12" hidden="false" customHeight="false" outlineLevel="0" collapsed="false">
      <c r="A294" s="134"/>
      <c r="B294" s="135"/>
      <c r="C294" s="143"/>
      <c r="D294" s="143"/>
      <c r="E294" s="143"/>
      <c r="F294" s="143"/>
      <c r="G294" s="143"/>
      <c r="H294" s="143"/>
      <c r="I294" s="143"/>
      <c r="J294" s="143"/>
      <c r="K294" s="143"/>
      <c r="L294" s="144"/>
      <c r="M294" s="143"/>
      <c r="N294" s="145"/>
      <c r="O294" s="146"/>
      <c r="P294" s="144"/>
      <c r="Q294" s="147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  <c r="AC294" s="148"/>
      <c r="AD294" s="149"/>
      <c r="AE294" s="150"/>
      <c r="AF294" s="151"/>
      <c r="AG294" s="152"/>
      <c r="AH294" s="149"/>
    </row>
    <row r="295" customFormat="false" ht="12" hidden="false" customHeight="false" outlineLevel="0" collapsed="false">
      <c r="A295" s="134"/>
      <c r="B295" s="135"/>
      <c r="C295" s="143"/>
      <c r="D295" s="143"/>
      <c r="E295" s="143"/>
      <c r="F295" s="143"/>
      <c r="G295" s="143"/>
      <c r="H295" s="143"/>
      <c r="I295" s="143"/>
      <c r="J295" s="143"/>
      <c r="K295" s="143"/>
      <c r="L295" s="144"/>
      <c r="M295" s="143"/>
      <c r="N295" s="145"/>
      <c r="O295" s="146"/>
      <c r="P295" s="144"/>
      <c r="Q295" s="147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  <c r="AC295" s="148"/>
      <c r="AD295" s="149"/>
      <c r="AE295" s="150"/>
      <c r="AF295" s="151"/>
      <c r="AG295" s="152"/>
      <c r="AH295" s="149"/>
    </row>
    <row r="296" customFormat="false" ht="12" hidden="false" customHeight="false" outlineLevel="0" collapsed="false">
      <c r="A296" s="134"/>
      <c r="B296" s="135"/>
      <c r="C296" s="143"/>
      <c r="D296" s="143"/>
      <c r="E296" s="143"/>
      <c r="F296" s="143"/>
      <c r="G296" s="143"/>
      <c r="H296" s="143"/>
      <c r="I296" s="143"/>
      <c r="J296" s="143"/>
      <c r="K296" s="143"/>
      <c r="L296" s="144"/>
      <c r="M296" s="143"/>
      <c r="N296" s="145"/>
      <c r="O296" s="146"/>
      <c r="P296" s="144"/>
      <c r="Q296" s="147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  <c r="AC296" s="148"/>
      <c r="AD296" s="149"/>
      <c r="AE296" s="150"/>
      <c r="AF296" s="151"/>
      <c r="AG296" s="152"/>
      <c r="AH296" s="149"/>
    </row>
    <row r="297" customFormat="false" ht="12" hidden="false" customHeight="false" outlineLevel="0" collapsed="false">
      <c r="A297" s="134"/>
      <c r="B297" s="135"/>
      <c r="C297" s="143"/>
      <c r="D297" s="143"/>
      <c r="E297" s="143"/>
      <c r="F297" s="143"/>
      <c r="G297" s="143"/>
      <c r="H297" s="143"/>
      <c r="I297" s="143"/>
      <c r="J297" s="143"/>
      <c r="K297" s="143"/>
      <c r="L297" s="144"/>
      <c r="M297" s="143"/>
      <c r="N297" s="145"/>
      <c r="O297" s="146"/>
      <c r="P297" s="144"/>
      <c r="Q297" s="147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  <c r="AC297" s="148"/>
      <c r="AD297" s="149"/>
      <c r="AE297" s="150"/>
      <c r="AF297" s="151"/>
      <c r="AG297" s="152"/>
      <c r="AH297" s="149"/>
    </row>
    <row r="298" customFormat="false" ht="12" hidden="false" customHeight="false" outlineLevel="0" collapsed="false">
      <c r="A298" s="134"/>
      <c r="B298" s="135"/>
      <c r="C298" s="143"/>
      <c r="D298" s="143"/>
      <c r="E298" s="143"/>
      <c r="F298" s="143"/>
      <c r="G298" s="143"/>
      <c r="H298" s="143"/>
      <c r="I298" s="143"/>
      <c r="J298" s="143"/>
      <c r="K298" s="143"/>
      <c r="L298" s="144"/>
      <c r="M298" s="143"/>
      <c r="N298" s="145"/>
      <c r="O298" s="146"/>
      <c r="P298" s="144"/>
      <c r="Q298" s="147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  <c r="AC298" s="148"/>
      <c r="AD298" s="149"/>
      <c r="AE298" s="150"/>
      <c r="AF298" s="151"/>
      <c r="AG298" s="152"/>
      <c r="AH298" s="149"/>
    </row>
    <row r="299" customFormat="false" ht="12" hidden="false" customHeight="false" outlineLevel="0" collapsed="false">
      <c r="A299" s="134"/>
      <c r="B299" s="135"/>
      <c r="C299" s="143"/>
      <c r="D299" s="143"/>
      <c r="E299" s="143"/>
      <c r="F299" s="143"/>
      <c r="G299" s="143"/>
      <c r="H299" s="143"/>
      <c r="I299" s="143"/>
      <c r="J299" s="143"/>
      <c r="K299" s="143"/>
      <c r="L299" s="144"/>
      <c r="M299" s="143"/>
      <c r="N299" s="145"/>
      <c r="O299" s="146"/>
      <c r="P299" s="144"/>
      <c r="Q299" s="147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  <c r="AD299" s="149"/>
      <c r="AE299" s="150"/>
      <c r="AF299" s="151"/>
      <c r="AG299" s="152"/>
      <c r="AH299" s="149"/>
    </row>
    <row r="300" customFormat="false" ht="12" hidden="false" customHeight="false" outlineLevel="0" collapsed="false">
      <c r="A300" s="134"/>
      <c r="B300" s="135"/>
      <c r="C300" s="143"/>
      <c r="D300" s="143"/>
      <c r="E300" s="143"/>
      <c r="F300" s="143"/>
      <c r="G300" s="143"/>
      <c r="H300" s="143"/>
      <c r="I300" s="143"/>
      <c r="J300" s="143"/>
      <c r="K300" s="143"/>
      <c r="L300" s="144"/>
      <c r="M300" s="143"/>
      <c r="N300" s="145"/>
      <c r="O300" s="146"/>
      <c r="P300" s="144"/>
      <c r="Q300" s="147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  <c r="AC300" s="148"/>
      <c r="AD300" s="149"/>
      <c r="AE300" s="150"/>
      <c r="AF300" s="151"/>
      <c r="AG300" s="152"/>
      <c r="AH300" s="149"/>
    </row>
    <row r="301" customFormat="false" ht="12" hidden="false" customHeight="false" outlineLevel="0" collapsed="false">
      <c r="A301" s="134"/>
      <c r="B301" s="135"/>
      <c r="C301" s="143"/>
      <c r="D301" s="143"/>
      <c r="E301" s="143"/>
      <c r="F301" s="143"/>
      <c r="G301" s="143"/>
      <c r="H301" s="143"/>
      <c r="I301" s="143"/>
      <c r="J301" s="143"/>
      <c r="K301" s="143"/>
      <c r="L301" s="144"/>
      <c r="M301" s="143"/>
      <c r="N301" s="145"/>
      <c r="O301" s="146"/>
      <c r="P301" s="144"/>
      <c r="Q301" s="147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  <c r="AC301" s="148"/>
      <c r="AD301" s="149"/>
      <c r="AE301" s="150"/>
      <c r="AF301" s="151"/>
      <c r="AG301" s="152"/>
      <c r="AH301" s="149"/>
    </row>
    <row r="302" customFormat="false" ht="12" hidden="false" customHeight="false" outlineLevel="0" collapsed="false">
      <c r="A302" s="134"/>
      <c r="B302" s="135"/>
      <c r="C302" s="143"/>
      <c r="D302" s="143"/>
      <c r="E302" s="143"/>
      <c r="F302" s="143"/>
      <c r="G302" s="143"/>
      <c r="H302" s="143"/>
      <c r="I302" s="143"/>
      <c r="J302" s="143"/>
      <c r="K302" s="143"/>
      <c r="L302" s="144"/>
      <c r="M302" s="143"/>
      <c r="N302" s="145"/>
      <c r="O302" s="146"/>
      <c r="P302" s="144"/>
      <c r="Q302" s="147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  <c r="AC302" s="148"/>
      <c r="AD302" s="149"/>
      <c r="AE302" s="150"/>
      <c r="AF302" s="151"/>
      <c r="AG302" s="152"/>
      <c r="AH302" s="149"/>
    </row>
    <row r="303" customFormat="false" ht="12" hidden="false" customHeight="false" outlineLevel="0" collapsed="false">
      <c r="A303" s="134"/>
      <c r="B303" s="135"/>
      <c r="C303" s="143"/>
      <c r="D303" s="143"/>
      <c r="E303" s="143"/>
      <c r="F303" s="143"/>
      <c r="G303" s="143"/>
      <c r="H303" s="143"/>
      <c r="I303" s="143"/>
      <c r="J303" s="143"/>
      <c r="K303" s="143"/>
      <c r="L303" s="144"/>
      <c r="M303" s="143"/>
      <c r="N303" s="145"/>
      <c r="O303" s="146"/>
      <c r="P303" s="144"/>
      <c r="Q303" s="147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  <c r="AC303" s="148"/>
      <c r="AD303" s="149"/>
      <c r="AE303" s="150"/>
      <c r="AF303" s="151"/>
      <c r="AG303" s="152"/>
      <c r="AH303" s="149"/>
    </row>
    <row r="304" customFormat="false" ht="12" hidden="false" customHeight="false" outlineLevel="0" collapsed="false">
      <c r="A304" s="134"/>
      <c r="B304" s="135"/>
      <c r="C304" s="143"/>
      <c r="D304" s="143"/>
      <c r="E304" s="143"/>
      <c r="F304" s="143"/>
      <c r="G304" s="143"/>
      <c r="H304" s="143"/>
      <c r="I304" s="143"/>
      <c r="J304" s="143"/>
      <c r="K304" s="143"/>
      <c r="L304" s="144"/>
      <c r="M304" s="143"/>
      <c r="N304" s="145"/>
      <c r="O304" s="146"/>
      <c r="P304" s="144"/>
      <c r="Q304" s="147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  <c r="AC304" s="148"/>
      <c r="AD304" s="149"/>
      <c r="AE304" s="150"/>
      <c r="AF304" s="151"/>
      <c r="AG304" s="152"/>
      <c r="AH304" s="149"/>
    </row>
    <row r="305" customFormat="false" ht="12" hidden="false" customHeight="false" outlineLevel="0" collapsed="false">
      <c r="A305" s="134"/>
      <c r="B305" s="135"/>
      <c r="C305" s="143"/>
      <c r="D305" s="143"/>
      <c r="E305" s="143"/>
      <c r="F305" s="143"/>
      <c r="G305" s="143"/>
      <c r="H305" s="143"/>
      <c r="I305" s="143"/>
      <c r="J305" s="143"/>
      <c r="K305" s="143"/>
      <c r="L305" s="144"/>
      <c r="M305" s="143"/>
      <c r="N305" s="145"/>
      <c r="O305" s="146"/>
      <c r="P305" s="144"/>
      <c r="Q305" s="147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  <c r="AC305" s="148"/>
      <c r="AD305" s="149"/>
      <c r="AE305" s="150"/>
      <c r="AF305" s="151"/>
      <c r="AG305" s="152"/>
      <c r="AH305" s="149"/>
    </row>
    <row r="306" customFormat="false" ht="12" hidden="false" customHeight="false" outlineLevel="0" collapsed="false">
      <c r="A306" s="134"/>
      <c r="B306" s="135"/>
      <c r="C306" s="143"/>
      <c r="D306" s="143"/>
      <c r="E306" s="143"/>
      <c r="F306" s="143"/>
      <c r="G306" s="143"/>
      <c r="H306" s="143"/>
      <c r="I306" s="143"/>
      <c r="J306" s="143"/>
      <c r="K306" s="143"/>
      <c r="L306" s="144"/>
      <c r="M306" s="143"/>
      <c r="N306" s="145"/>
      <c r="O306" s="146"/>
      <c r="P306" s="144"/>
      <c r="Q306" s="147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  <c r="AC306" s="148"/>
      <c r="AD306" s="149"/>
      <c r="AE306" s="150"/>
      <c r="AF306" s="151"/>
      <c r="AG306" s="152"/>
      <c r="AH306" s="149"/>
    </row>
    <row r="307" customFormat="false" ht="12" hidden="false" customHeight="false" outlineLevel="0" collapsed="false">
      <c r="A307" s="134"/>
      <c r="B307" s="135"/>
      <c r="C307" s="143"/>
      <c r="D307" s="143"/>
      <c r="E307" s="143"/>
      <c r="F307" s="143"/>
      <c r="G307" s="143"/>
      <c r="H307" s="143"/>
      <c r="I307" s="143"/>
      <c r="J307" s="143"/>
      <c r="K307" s="143"/>
      <c r="L307" s="144"/>
      <c r="M307" s="143"/>
      <c r="N307" s="145"/>
      <c r="O307" s="146"/>
      <c r="P307" s="144"/>
      <c r="Q307" s="147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  <c r="AC307" s="148"/>
      <c r="AD307" s="149"/>
      <c r="AE307" s="150"/>
      <c r="AF307" s="151"/>
      <c r="AG307" s="152"/>
      <c r="AH307" s="149"/>
    </row>
    <row r="308" customFormat="false" ht="12" hidden="false" customHeight="false" outlineLevel="0" collapsed="false">
      <c r="A308" s="134"/>
      <c r="B308" s="135"/>
      <c r="C308" s="143"/>
      <c r="D308" s="143"/>
      <c r="E308" s="143"/>
      <c r="F308" s="143"/>
      <c r="G308" s="143"/>
      <c r="H308" s="143"/>
      <c r="I308" s="143"/>
      <c r="J308" s="143"/>
      <c r="K308" s="143"/>
      <c r="L308" s="144"/>
      <c r="M308" s="143"/>
      <c r="N308" s="145"/>
      <c r="O308" s="146"/>
      <c r="P308" s="144"/>
      <c r="Q308" s="147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  <c r="AC308" s="148"/>
      <c r="AD308" s="149"/>
      <c r="AE308" s="150"/>
      <c r="AF308" s="151"/>
      <c r="AG308" s="152"/>
      <c r="AH308" s="149"/>
    </row>
    <row r="309" customFormat="false" ht="12" hidden="false" customHeight="false" outlineLevel="0" collapsed="false">
      <c r="A309" s="134"/>
      <c r="B309" s="135"/>
      <c r="C309" s="143"/>
      <c r="D309" s="143"/>
      <c r="E309" s="143"/>
      <c r="F309" s="143"/>
      <c r="G309" s="143"/>
      <c r="H309" s="143"/>
      <c r="I309" s="143"/>
      <c r="J309" s="143"/>
      <c r="K309" s="143"/>
      <c r="L309" s="144"/>
      <c r="M309" s="143"/>
      <c r="N309" s="145"/>
      <c r="O309" s="146"/>
      <c r="P309" s="144"/>
      <c r="Q309" s="147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  <c r="AC309" s="148"/>
      <c r="AD309" s="149"/>
      <c r="AE309" s="150"/>
      <c r="AF309" s="151"/>
      <c r="AG309" s="152"/>
      <c r="AH309" s="149"/>
    </row>
    <row r="310" customFormat="false" ht="12" hidden="false" customHeight="false" outlineLevel="0" collapsed="false">
      <c r="A310" s="134"/>
      <c r="B310" s="135"/>
      <c r="C310" s="143"/>
      <c r="D310" s="143"/>
      <c r="E310" s="143"/>
      <c r="F310" s="143"/>
      <c r="G310" s="143"/>
      <c r="H310" s="143"/>
      <c r="I310" s="143"/>
      <c r="J310" s="143"/>
      <c r="K310" s="143"/>
      <c r="L310" s="144"/>
      <c r="M310" s="143"/>
      <c r="N310" s="145"/>
      <c r="O310" s="146"/>
      <c r="P310" s="144"/>
      <c r="Q310" s="147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  <c r="AC310" s="148"/>
      <c r="AD310" s="149"/>
      <c r="AE310" s="150"/>
      <c r="AF310" s="151"/>
      <c r="AG310" s="152"/>
      <c r="AH310" s="149"/>
    </row>
    <row r="311" customFormat="false" ht="12" hidden="false" customHeight="false" outlineLevel="0" collapsed="false">
      <c r="A311" s="134"/>
      <c r="B311" s="135"/>
      <c r="C311" s="143"/>
      <c r="D311" s="143"/>
      <c r="E311" s="143"/>
      <c r="F311" s="143"/>
      <c r="G311" s="143"/>
      <c r="H311" s="143"/>
      <c r="I311" s="143"/>
      <c r="J311" s="143"/>
      <c r="K311" s="143"/>
      <c r="L311" s="144"/>
      <c r="M311" s="143"/>
      <c r="N311" s="145"/>
      <c r="O311" s="146"/>
      <c r="P311" s="144"/>
      <c r="Q311" s="147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  <c r="AC311" s="148"/>
      <c r="AD311" s="149"/>
      <c r="AE311" s="150"/>
      <c r="AF311" s="151"/>
      <c r="AG311" s="152"/>
      <c r="AH311" s="149"/>
    </row>
    <row r="312" customFormat="false" ht="12" hidden="false" customHeight="false" outlineLevel="0" collapsed="false">
      <c r="A312" s="134"/>
      <c r="B312" s="135"/>
      <c r="C312" s="143"/>
      <c r="D312" s="143"/>
      <c r="E312" s="143"/>
      <c r="F312" s="143"/>
      <c r="G312" s="143"/>
      <c r="H312" s="143"/>
      <c r="I312" s="143"/>
      <c r="J312" s="143"/>
      <c r="K312" s="143"/>
      <c r="L312" s="144"/>
      <c r="M312" s="143"/>
      <c r="N312" s="145"/>
      <c r="O312" s="146"/>
      <c r="P312" s="144"/>
      <c r="Q312" s="147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  <c r="AC312" s="148"/>
      <c r="AD312" s="149"/>
      <c r="AE312" s="150"/>
      <c r="AF312" s="151"/>
      <c r="AG312" s="152"/>
      <c r="AH312" s="149"/>
    </row>
    <row r="313" customFormat="false" ht="12" hidden="false" customHeight="false" outlineLevel="0" collapsed="false">
      <c r="A313" s="134"/>
      <c r="B313" s="135"/>
      <c r="C313" s="143"/>
      <c r="D313" s="143"/>
      <c r="E313" s="143"/>
      <c r="F313" s="143"/>
      <c r="G313" s="143"/>
      <c r="H313" s="143"/>
      <c r="I313" s="143"/>
      <c r="J313" s="143"/>
      <c r="K313" s="143"/>
      <c r="L313" s="144"/>
      <c r="M313" s="143"/>
      <c r="N313" s="145"/>
      <c r="O313" s="146"/>
      <c r="P313" s="144"/>
      <c r="Q313" s="147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  <c r="AC313" s="148"/>
      <c r="AD313" s="149"/>
      <c r="AE313" s="150"/>
      <c r="AF313" s="151"/>
      <c r="AG313" s="152"/>
      <c r="AH313" s="149"/>
    </row>
    <row r="314" customFormat="false" ht="12" hidden="false" customHeight="false" outlineLevel="0" collapsed="false">
      <c r="A314" s="134"/>
      <c r="B314" s="135"/>
      <c r="C314" s="143"/>
      <c r="D314" s="143"/>
      <c r="E314" s="143"/>
      <c r="F314" s="143"/>
      <c r="G314" s="143"/>
      <c r="H314" s="143"/>
      <c r="I314" s="143"/>
      <c r="J314" s="143"/>
      <c r="K314" s="143"/>
      <c r="L314" s="144"/>
      <c r="M314" s="143"/>
      <c r="N314" s="145"/>
      <c r="O314" s="146"/>
      <c r="P314" s="144"/>
      <c r="Q314" s="147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  <c r="AC314" s="148"/>
      <c r="AD314" s="149"/>
      <c r="AE314" s="150"/>
      <c r="AF314" s="151"/>
      <c r="AG314" s="152"/>
      <c r="AH314" s="149"/>
    </row>
    <row r="315" customFormat="false" ht="12" hidden="false" customHeight="false" outlineLevel="0" collapsed="false">
      <c r="A315" s="134"/>
      <c r="B315" s="135"/>
      <c r="C315" s="143"/>
      <c r="D315" s="143"/>
      <c r="E315" s="143"/>
      <c r="F315" s="143"/>
      <c r="G315" s="143"/>
      <c r="H315" s="143"/>
      <c r="I315" s="143"/>
      <c r="J315" s="143"/>
      <c r="K315" s="143"/>
      <c r="L315" s="144"/>
      <c r="M315" s="143"/>
      <c r="N315" s="145"/>
      <c r="O315" s="146"/>
      <c r="P315" s="144"/>
      <c r="Q315" s="147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  <c r="AC315" s="148"/>
      <c r="AD315" s="149"/>
      <c r="AE315" s="150"/>
      <c r="AF315" s="151"/>
      <c r="AG315" s="152"/>
      <c r="AH315" s="149"/>
    </row>
    <row r="316" customFormat="false" ht="12" hidden="false" customHeight="false" outlineLevel="0" collapsed="false">
      <c r="A316" s="134"/>
      <c r="B316" s="135"/>
      <c r="C316" s="143"/>
      <c r="D316" s="143"/>
      <c r="E316" s="143"/>
      <c r="F316" s="143"/>
      <c r="G316" s="143"/>
      <c r="H316" s="143"/>
      <c r="I316" s="143"/>
      <c r="J316" s="143"/>
      <c r="K316" s="143"/>
      <c r="L316" s="144"/>
      <c r="M316" s="143"/>
      <c r="N316" s="145"/>
      <c r="O316" s="146"/>
      <c r="P316" s="144"/>
      <c r="Q316" s="147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  <c r="AC316" s="148"/>
      <c r="AD316" s="149"/>
      <c r="AE316" s="150"/>
      <c r="AF316" s="151"/>
      <c r="AG316" s="152"/>
      <c r="AH316" s="149"/>
    </row>
    <row r="317" customFormat="false" ht="12" hidden="false" customHeight="false" outlineLevel="0" collapsed="false">
      <c r="A317" s="134"/>
      <c r="B317" s="135"/>
      <c r="C317" s="143"/>
      <c r="D317" s="143"/>
      <c r="E317" s="143"/>
      <c r="F317" s="143"/>
      <c r="G317" s="143"/>
      <c r="H317" s="143"/>
      <c r="I317" s="143"/>
      <c r="J317" s="143"/>
      <c r="K317" s="143"/>
      <c r="L317" s="144"/>
      <c r="M317" s="143"/>
      <c r="N317" s="145"/>
      <c r="O317" s="146"/>
      <c r="P317" s="144"/>
      <c r="Q317" s="147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  <c r="AC317" s="148"/>
      <c r="AD317" s="149"/>
      <c r="AE317" s="150"/>
      <c r="AF317" s="151"/>
      <c r="AG317" s="152"/>
      <c r="AH317" s="149"/>
    </row>
    <row r="318" customFormat="false" ht="12" hidden="false" customHeight="false" outlineLevel="0" collapsed="false">
      <c r="A318" s="134"/>
      <c r="B318" s="135"/>
      <c r="C318" s="143"/>
      <c r="D318" s="143"/>
      <c r="E318" s="143"/>
      <c r="F318" s="143"/>
      <c r="G318" s="143"/>
      <c r="H318" s="143"/>
      <c r="I318" s="143"/>
      <c r="J318" s="143"/>
      <c r="K318" s="143"/>
      <c r="L318" s="144"/>
      <c r="M318" s="143"/>
      <c r="N318" s="145"/>
      <c r="O318" s="146"/>
      <c r="P318" s="144"/>
      <c r="Q318" s="147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  <c r="AC318" s="148"/>
      <c r="AD318" s="149"/>
      <c r="AE318" s="150"/>
      <c r="AF318" s="151"/>
      <c r="AG318" s="152"/>
      <c r="AH318" s="149"/>
    </row>
    <row r="319" customFormat="false" ht="12" hidden="false" customHeight="false" outlineLevel="0" collapsed="false">
      <c r="A319" s="134"/>
      <c r="B319" s="135"/>
      <c r="C319" s="143"/>
      <c r="D319" s="143"/>
      <c r="E319" s="143"/>
      <c r="F319" s="143"/>
      <c r="G319" s="143"/>
      <c r="H319" s="143"/>
      <c r="I319" s="143"/>
      <c r="J319" s="143"/>
      <c r="K319" s="143"/>
      <c r="L319" s="144"/>
      <c r="M319" s="143"/>
      <c r="N319" s="145"/>
      <c r="O319" s="146"/>
      <c r="P319" s="144"/>
      <c r="Q319" s="147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  <c r="AC319" s="148"/>
      <c r="AD319" s="149"/>
      <c r="AE319" s="150"/>
      <c r="AF319" s="151"/>
      <c r="AG319" s="152"/>
      <c r="AH319" s="149"/>
    </row>
    <row r="320" customFormat="false" ht="12" hidden="false" customHeight="false" outlineLevel="0" collapsed="false">
      <c r="A320" s="134"/>
      <c r="B320" s="135"/>
      <c r="C320" s="143"/>
      <c r="D320" s="143"/>
      <c r="E320" s="143"/>
      <c r="F320" s="143"/>
      <c r="G320" s="143"/>
      <c r="H320" s="143"/>
      <c r="I320" s="143"/>
      <c r="J320" s="143"/>
      <c r="K320" s="143"/>
      <c r="L320" s="144"/>
      <c r="M320" s="143"/>
      <c r="N320" s="145"/>
      <c r="O320" s="146"/>
      <c r="P320" s="144"/>
      <c r="Q320" s="147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  <c r="AC320" s="148"/>
      <c r="AD320" s="149"/>
      <c r="AE320" s="150"/>
      <c r="AF320" s="151"/>
      <c r="AG320" s="152"/>
      <c r="AH320" s="149"/>
    </row>
    <row r="321" customFormat="false" ht="12" hidden="false" customHeight="false" outlineLevel="0" collapsed="false">
      <c r="A321" s="134"/>
      <c r="B321" s="135"/>
      <c r="C321" s="143"/>
      <c r="D321" s="143"/>
      <c r="E321" s="143"/>
      <c r="F321" s="143"/>
      <c r="G321" s="143"/>
      <c r="H321" s="143"/>
      <c r="I321" s="143"/>
      <c r="J321" s="143"/>
      <c r="K321" s="143"/>
      <c r="L321" s="144"/>
      <c r="M321" s="143"/>
      <c r="N321" s="145"/>
      <c r="O321" s="146"/>
      <c r="P321" s="144"/>
      <c r="Q321" s="147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  <c r="AC321" s="148"/>
      <c r="AD321" s="149"/>
      <c r="AE321" s="150"/>
      <c r="AF321" s="151"/>
      <c r="AG321" s="152"/>
      <c r="AH321" s="149"/>
    </row>
    <row r="322" customFormat="false" ht="12" hidden="false" customHeight="false" outlineLevel="0" collapsed="false">
      <c r="A322" s="134"/>
      <c r="B322" s="135"/>
      <c r="C322" s="143"/>
      <c r="D322" s="143"/>
      <c r="E322" s="143"/>
      <c r="F322" s="143"/>
      <c r="G322" s="143"/>
      <c r="H322" s="143"/>
      <c r="I322" s="143"/>
      <c r="J322" s="143"/>
      <c r="K322" s="143"/>
      <c r="L322" s="144"/>
      <c r="M322" s="143"/>
      <c r="N322" s="145"/>
      <c r="O322" s="146"/>
      <c r="P322" s="144"/>
      <c r="Q322" s="147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  <c r="AC322" s="148"/>
      <c r="AD322" s="149"/>
      <c r="AE322" s="150"/>
      <c r="AF322" s="151"/>
      <c r="AG322" s="152"/>
      <c r="AH322" s="149"/>
    </row>
    <row r="323" customFormat="false" ht="12" hidden="false" customHeight="false" outlineLevel="0" collapsed="false">
      <c r="A323" s="134"/>
      <c r="B323" s="135"/>
      <c r="C323" s="143"/>
      <c r="D323" s="143"/>
      <c r="E323" s="143"/>
      <c r="F323" s="143"/>
      <c r="G323" s="143"/>
      <c r="H323" s="143"/>
      <c r="I323" s="143"/>
      <c r="J323" s="143"/>
      <c r="K323" s="143"/>
      <c r="L323" s="144"/>
      <c r="M323" s="143"/>
      <c r="N323" s="145"/>
      <c r="O323" s="146"/>
      <c r="P323" s="144"/>
      <c r="Q323" s="147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  <c r="AC323" s="148"/>
      <c r="AD323" s="149"/>
      <c r="AE323" s="150"/>
      <c r="AF323" s="151"/>
      <c r="AG323" s="152"/>
      <c r="AH323" s="149"/>
    </row>
    <row r="324" customFormat="false" ht="12" hidden="false" customHeight="false" outlineLevel="0" collapsed="false">
      <c r="A324" s="134"/>
      <c r="B324" s="135"/>
      <c r="C324" s="143"/>
      <c r="D324" s="143"/>
      <c r="E324" s="143"/>
      <c r="F324" s="143"/>
      <c r="G324" s="143"/>
      <c r="H324" s="143"/>
      <c r="I324" s="143"/>
      <c r="J324" s="143"/>
      <c r="K324" s="143"/>
      <c r="L324" s="144"/>
      <c r="M324" s="143"/>
      <c r="N324" s="145"/>
      <c r="O324" s="146"/>
      <c r="P324" s="144"/>
      <c r="Q324" s="147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  <c r="AC324" s="148"/>
      <c r="AD324" s="149"/>
      <c r="AE324" s="150"/>
      <c r="AF324" s="151"/>
      <c r="AG324" s="152"/>
      <c r="AH324" s="149"/>
    </row>
    <row r="325" customFormat="false" ht="12" hidden="false" customHeight="false" outlineLevel="0" collapsed="false">
      <c r="A325" s="134"/>
      <c r="B325" s="135"/>
      <c r="C325" s="143"/>
      <c r="D325" s="143"/>
      <c r="E325" s="143"/>
      <c r="F325" s="143"/>
      <c r="G325" s="143"/>
      <c r="H325" s="143"/>
      <c r="I325" s="143"/>
      <c r="J325" s="143"/>
      <c r="K325" s="143"/>
      <c r="L325" s="144"/>
      <c r="M325" s="143"/>
      <c r="N325" s="145"/>
      <c r="O325" s="146"/>
      <c r="P325" s="144"/>
      <c r="Q325" s="147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9"/>
      <c r="AE325" s="150"/>
      <c r="AF325" s="151"/>
      <c r="AG325" s="152"/>
      <c r="AH325" s="149"/>
    </row>
    <row r="326" customFormat="false" ht="12" hidden="false" customHeight="false" outlineLevel="0" collapsed="false">
      <c r="A326" s="134"/>
      <c r="B326" s="135"/>
      <c r="C326" s="143"/>
      <c r="D326" s="143"/>
      <c r="E326" s="143"/>
      <c r="F326" s="143"/>
      <c r="G326" s="143"/>
      <c r="H326" s="143"/>
      <c r="I326" s="143"/>
      <c r="J326" s="143"/>
      <c r="K326" s="143"/>
      <c r="L326" s="144"/>
      <c r="M326" s="143"/>
      <c r="N326" s="145"/>
      <c r="O326" s="146"/>
      <c r="P326" s="144"/>
      <c r="Q326" s="147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  <c r="AC326" s="148"/>
      <c r="AD326" s="149"/>
      <c r="AE326" s="150"/>
      <c r="AF326" s="151"/>
      <c r="AG326" s="152"/>
      <c r="AH326" s="149"/>
    </row>
    <row r="327" customFormat="false" ht="12" hidden="false" customHeight="false" outlineLevel="0" collapsed="false">
      <c r="A327" s="134"/>
      <c r="B327" s="135"/>
      <c r="C327" s="143"/>
      <c r="D327" s="143"/>
      <c r="E327" s="143"/>
      <c r="F327" s="143"/>
      <c r="G327" s="143"/>
      <c r="H327" s="143"/>
      <c r="I327" s="143"/>
      <c r="J327" s="143"/>
      <c r="K327" s="143"/>
      <c r="L327" s="144"/>
      <c r="M327" s="143"/>
      <c r="N327" s="145"/>
      <c r="O327" s="146"/>
      <c r="P327" s="144"/>
      <c r="Q327" s="147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  <c r="AC327" s="148"/>
      <c r="AD327" s="149"/>
      <c r="AE327" s="150"/>
      <c r="AF327" s="151"/>
      <c r="AG327" s="152"/>
      <c r="AH327" s="149"/>
    </row>
    <row r="328" customFormat="false" ht="12" hidden="false" customHeight="false" outlineLevel="0" collapsed="false">
      <c r="A328" s="134"/>
      <c r="B328" s="135"/>
      <c r="C328" s="143"/>
      <c r="D328" s="143"/>
      <c r="E328" s="143"/>
      <c r="F328" s="143"/>
      <c r="G328" s="143"/>
      <c r="H328" s="143"/>
      <c r="I328" s="143"/>
      <c r="J328" s="143"/>
      <c r="K328" s="143"/>
      <c r="L328" s="144"/>
      <c r="M328" s="143"/>
      <c r="N328" s="145"/>
      <c r="O328" s="146"/>
      <c r="P328" s="144"/>
      <c r="Q328" s="147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  <c r="AC328" s="148"/>
      <c r="AD328" s="149"/>
      <c r="AE328" s="150"/>
      <c r="AF328" s="151"/>
      <c r="AG328" s="152"/>
      <c r="AH328" s="149"/>
    </row>
    <row r="329" customFormat="false" ht="12" hidden="false" customHeight="false" outlineLevel="0" collapsed="false">
      <c r="A329" s="134"/>
      <c r="B329" s="135"/>
      <c r="C329" s="143"/>
      <c r="D329" s="143"/>
      <c r="E329" s="143"/>
      <c r="F329" s="143"/>
      <c r="G329" s="143"/>
      <c r="H329" s="143"/>
      <c r="I329" s="143"/>
      <c r="J329" s="143"/>
      <c r="K329" s="143"/>
      <c r="L329" s="144"/>
      <c r="M329" s="143"/>
      <c r="N329" s="145"/>
      <c r="O329" s="146"/>
      <c r="P329" s="144"/>
      <c r="Q329" s="147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  <c r="AC329" s="148"/>
      <c r="AD329" s="149"/>
      <c r="AE329" s="150"/>
      <c r="AF329" s="151"/>
      <c r="AG329" s="152"/>
      <c r="AH329" s="149"/>
    </row>
    <row r="330" customFormat="false" ht="12" hidden="false" customHeight="false" outlineLevel="0" collapsed="false">
      <c r="A330" s="134"/>
      <c r="B330" s="135"/>
      <c r="C330" s="143"/>
      <c r="D330" s="143"/>
      <c r="E330" s="143"/>
      <c r="F330" s="143"/>
      <c r="G330" s="143"/>
      <c r="H330" s="143"/>
      <c r="I330" s="143"/>
      <c r="J330" s="143"/>
      <c r="K330" s="143"/>
      <c r="L330" s="144"/>
      <c r="M330" s="143"/>
      <c r="N330" s="145"/>
      <c r="O330" s="146"/>
      <c r="P330" s="144"/>
      <c r="Q330" s="147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148"/>
      <c r="AD330" s="149"/>
      <c r="AE330" s="150"/>
      <c r="AF330" s="151"/>
      <c r="AG330" s="152"/>
      <c r="AH330" s="149"/>
    </row>
    <row r="331" customFormat="false" ht="12" hidden="false" customHeight="false" outlineLevel="0" collapsed="false">
      <c r="A331" s="134"/>
      <c r="B331" s="135"/>
      <c r="C331" s="143"/>
      <c r="D331" s="143"/>
      <c r="E331" s="143"/>
      <c r="F331" s="143"/>
      <c r="G331" s="143"/>
      <c r="H331" s="143"/>
      <c r="I331" s="143"/>
      <c r="J331" s="143"/>
      <c r="K331" s="143"/>
      <c r="L331" s="144"/>
      <c r="M331" s="143"/>
      <c r="N331" s="145"/>
      <c r="O331" s="146"/>
      <c r="P331" s="144"/>
      <c r="Q331" s="147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148"/>
      <c r="AD331" s="149"/>
      <c r="AE331" s="150"/>
      <c r="AF331" s="151"/>
      <c r="AG331" s="152"/>
      <c r="AH331" s="149"/>
    </row>
    <row r="332" customFormat="false" ht="12" hidden="false" customHeight="false" outlineLevel="0" collapsed="false">
      <c r="A332" s="134"/>
      <c r="B332" s="135"/>
      <c r="C332" s="143"/>
      <c r="D332" s="143"/>
      <c r="E332" s="143"/>
      <c r="F332" s="143"/>
      <c r="G332" s="143"/>
      <c r="H332" s="143"/>
      <c r="I332" s="143"/>
      <c r="J332" s="143"/>
      <c r="K332" s="143"/>
      <c r="L332" s="144"/>
      <c r="M332" s="143"/>
      <c r="N332" s="145"/>
      <c r="O332" s="146"/>
      <c r="P332" s="144"/>
      <c r="Q332" s="147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  <c r="AC332" s="148"/>
      <c r="AD332" s="149"/>
      <c r="AE332" s="150"/>
      <c r="AF332" s="151"/>
      <c r="AG332" s="152"/>
      <c r="AH332" s="149"/>
    </row>
    <row r="333" customFormat="false" ht="12" hidden="false" customHeight="false" outlineLevel="0" collapsed="false">
      <c r="A333" s="134"/>
      <c r="B333" s="135"/>
      <c r="C333" s="143"/>
      <c r="D333" s="143"/>
      <c r="E333" s="143"/>
      <c r="F333" s="143"/>
      <c r="G333" s="143"/>
      <c r="H333" s="143"/>
      <c r="I333" s="143"/>
      <c r="J333" s="143"/>
      <c r="K333" s="143"/>
      <c r="L333" s="144"/>
      <c r="M333" s="143"/>
      <c r="N333" s="145"/>
      <c r="O333" s="146"/>
      <c r="P333" s="144"/>
      <c r="Q333" s="147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  <c r="AC333" s="148"/>
      <c r="AD333" s="149"/>
      <c r="AE333" s="150"/>
      <c r="AF333" s="151"/>
      <c r="AG333" s="152"/>
      <c r="AH333" s="149"/>
    </row>
    <row r="334" customFormat="false" ht="12" hidden="false" customHeight="false" outlineLevel="0" collapsed="false">
      <c r="A334" s="134"/>
      <c r="B334" s="135"/>
      <c r="C334" s="143"/>
      <c r="D334" s="143"/>
      <c r="E334" s="143"/>
      <c r="F334" s="143"/>
      <c r="G334" s="143"/>
      <c r="H334" s="143"/>
      <c r="I334" s="143"/>
      <c r="J334" s="143"/>
      <c r="K334" s="143"/>
      <c r="L334" s="144"/>
      <c r="M334" s="143"/>
      <c r="N334" s="145"/>
      <c r="O334" s="146"/>
      <c r="P334" s="144"/>
      <c r="Q334" s="147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  <c r="AC334" s="148"/>
      <c r="AD334" s="149"/>
      <c r="AE334" s="150"/>
      <c r="AF334" s="151"/>
      <c r="AG334" s="152"/>
      <c r="AH334" s="149"/>
    </row>
    <row r="335" customFormat="false" ht="12" hidden="false" customHeight="false" outlineLevel="0" collapsed="false">
      <c r="A335" s="134"/>
      <c r="B335" s="135"/>
      <c r="C335" s="143"/>
      <c r="D335" s="143"/>
      <c r="E335" s="143"/>
      <c r="F335" s="143"/>
      <c r="G335" s="143"/>
      <c r="H335" s="143"/>
      <c r="I335" s="143"/>
      <c r="J335" s="143"/>
      <c r="K335" s="143"/>
      <c r="L335" s="144"/>
      <c r="M335" s="143"/>
      <c r="N335" s="145"/>
      <c r="O335" s="146"/>
      <c r="P335" s="144"/>
      <c r="Q335" s="147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  <c r="AC335" s="148"/>
      <c r="AD335" s="149"/>
      <c r="AE335" s="150"/>
      <c r="AF335" s="151"/>
      <c r="AG335" s="152"/>
      <c r="AH335" s="149"/>
    </row>
    <row r="336" customFormat="false" ht="12" hidden="false" customHeight="false" outlineLevel="0" collapsed="false">
      <c r="A336" s="134"/>
      <c r="B336" s="135"/>
      <c r="C336" s="143"/>
      <c r="D336" s="143"/>
      <c r="E336" s="143"/>
      <c r="F336" s="143"/>
      <c r="G336" s="143"/>
      <c r="H336" s="143"/>
      <c r="I336" s="143"/>
      <c r="J336" s="143"/>
      <c r="K336" s="143"/>
      <c r="L336" s="144"/>
      <c r="M336" s="143"/>
      <c r="N336" s="145"/>
      <c r="O336" s="146"/>
      <c r="P336" s="144"/>
      <c r="Q336" s="147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  <c r="AC336" s="148"/>
      <c r="AD336" s="149"/>
      <c r="AE336" s="150"/>
      <c r="AF336" s="151"/>
      <c r="AG336" s="152"/>
      <c r="AH336" s="149"/>
    </row>
    <row r="337" customFormat="false" ht="12" hidden="false" customHeight="false" outlineLevel="0" collapsed="false">
      <c r="A337" s="134"/>
      <c r="B337" s="135"/>
      <c r="C337" s="143"/>
      <c r="D337" s="143"/>
      <c r="E337" s="143"/>
      <c r="F337" s="143"/>
      <c r="G337" s="143"/>
      <c r="H337" s="143"/>
      <c r="I337" s="143"/>
      <c r="J337" s="143"/>
      <c r="K337" s="143"/>
      <c r="L337" s="144"/>
      <c r="M337" s="143"/>
      <c r="N337" s="145"/>
      <c r="O337" s="146"/>
      <c r="P337" s="144"/>
      <c r="Q337" s="147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  <c r="AC337" s="148"/>
      <c r="AD337" s="149"/>
      <c r="AE337" s="150"/>
      <c r="AF337" s="151"/>
      <c r="AG337" s="152"/>
      <c r="AH337" s="149"/>
    </row>
    <row r="338" customFormat="false" ht="12" hidden="false" customHeight="false" outlineLevel="0" collapsed="false">
      <c r="A338" s="134"/>
      <c r="B338" s="135"/>
      <c r="C338" s="143"/>
      <c r="D338" s="143"/>
      <c r="E338" s="143"/>
      <c r="F338" s="143"/>
      <c r="G338" s="143"/>
      <c r="H338" s="143"/>
      <c r="I338" s="143"/>
      <c r="J338" s="143"/>
      <c r="K338" s="143"/>
      <c r="L338" s="144"/>
      <c r="M338" s="143"/>
      <c r="N338" s="145"/>
      <c r="O338" s="146"/>
      <c r="P338" s="144"/>
      <c r="Q338" s="147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  <c r="AC338" s="148"/>
      <c r="AD338" s="149"/>
      <c r="AE338" s="150"/>
      <c r="AF338" s="151"/>
      <c r="AG338" s="152"/>
      <c r="AH338" s="149"/>
    </row>
    <row r="339" customFormat="false" ht="12" hidden="false" customHeight="false" outlineLevel="0" collapsed="false">
      <c r="A339" s="134"/>
      <c r="B339" s="135"/>
      <c r="C339" s="143"/>
      <c r="D339" s="143"/>
      <c r="E339" s="143"/>
      <c r="F339" s="143"/>
      <c r="G339" s="143"/>
      <c r="H339" s="143"/>
      <c r="I339" s="143"/>
      <c r="J339" s="143"/>
      <c r="K339" s="143"/>
      <c r="L339" s="144"/>
      <c r="M339" s="143"/>
      <c r="N339" s="145"/>
      <c r="O339" s="146"/>
      <c r="P339" s="144"/>
      <c r="Q339" s="147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  <c r="AC339" s="148"/>
      <c r="AD339" s="149"/>
      <c r="AE339" s="150"/>
      <c r="AF339" s="151"/>
      <c r="AG339" s="152"/>
      <c r="AH339" s="149"/>
    </row>
    <row r="340" customFormat="false" ht="12" hidden="false" customHeight="false" outlineLevel="0" collapsed="false">
      <c r="A340" s="134"/>
      <c r="B340" s="135"/>
      <c r="C340" s="143"/>
      <c r="D340" s="143"/>
      <c r="E340" s="143"/>
      <c r="F340" s="143"/>
      <c r="G340" s="143"/>
      <c r="H340" s="143"/>
      <c r="I340" s="143"/>
      <c r="J340" s="143"/>
      <c r="K340" s="143"/>
      <c r="L340" s="144"/>
      <c r="M340" s="143"/>
      <c r="N340" s="145"/>
      <c r="O340" s="146"/>
      <c r="P340" s="144"/>
      <c r="Q340" s="147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  <c r="AC340" s="148"/>
      <c r="AD340" s="149"/>
      <c r="AE340" s="150"/>
      <c r="AF340" s="151"/>
      <c r="AG340" s="152"/>
      <c r="AH340" s="149"/>
    </row>
    <row r="341" customFormat="false" ht="12" hidden="false" customHeight="false" outlineLevel="0" collapsed="false">
      <c r="A341" s="134"/>
      <c r="B341" s="135"/>
      <c r="C341" s="143"/>
      <c r="D341" s="143"/>
      <c r="E341" s="143"/>
      <c r="F341" s="143"/>
      <c r="G341" s="143"/>
      <c r="H341" s="143"/>
      <c r="I341" s="143"/>
      <c r="J341" s="143"/>
      <c r="K341" s="143"/>
      <c r="L341" s="144"/>
      <c r="M341" s="143"/>
      <c r="N341" s="145"/>
      <c r="O341" s="146"/>
      <c r="P341" s="144"/>
      <c r="Q341" s="147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  <c r="AC341" s="148"/>
      <c r="AD341" s="149"/>
      <c r="AE341" s="150"/>
      <c r="AF341" s="151"/>
      <c r="AG341" s="152"/>
      <c r="AH341" s="149"/>
    </row>
    <row r="342" customFormat="false" ht="12" hidden="false" customHeight="false" outlineLevel="0" collapsed="false">
      <c r="A342" s="134"/>
      <c r="B342" s="135"/>
      <c r="C342" s="143"/>
      <c r="D342" s="143"/>
      <c r="E342" s="143"/>
      <c r="F342" s="143"/>
      <c r="G342" s="143"/>
      <c r="H342" s="143"/>
      <c r="I342" s="143"/>
      <c r="J342" s="143"/>
      <c r="K342" s="143"/>
      <c r="L342" s="144"/>
      <c r="M342" s="143"/>
      <c r="N342" s="145"/>
      <c r="O342" s="146"/>
      <c r="P342" s="144"/>
      <c r="Q342" s="147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  <c r="AC342" s="148"/>
      <c r="AD342" s="149"/>
      <c r="AE342" s="150"/>
      <c r="AF342" s="151"/>
      <c r="AG342" s="152"/>
      <c r="AH342" s="149"/>
    </row>
    <row r="343" customFormat="false" ht="12" hidden="false" customHeight="false" outlineLevel="0" collapsed="false">
      <c r="A343" s="134"/>
      <c r="B343" s="135"/>
      <c r="C343" s="143"/>
      <c r="D343" s="143"/>
      <c r="E343" s="143"/>
      <c r="F343" s="143"/>
      <c r="G343" s="143"/>
      <c r="H343" s="143"/>
      <c r="I343" s="143"/>
      <c r="J343" s="143"/>
      <c r="K343" s="143"/>
      <c r="L343" s="144"/>
      <c r="M343" s="143"/>
      <c r="N343" s="145"/>
      <c r="O343" s="146"/>
      <c r="P343" s="144"/>
      <c r="Q343" s="147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  <c r="AC343" s="148"/>
      <c r="AD343" s="149"/>
      <c r="AE343" s="150"/>
      <c r="AF343" s="151"/>
      <c r="AG343" s="152"/>
      <c r="AH343" s="149"/>
    </row>
    <row r="344" customFormat="false" ht="12" hidden="false" customHeight="false" outlineLevel="0" collapsed="false">
      <c r="A344" s="134"/>
      <c r="B344" s="135"/>
      <c r="C344" s="143"/>
      <c r="D344" s="143"/>
      <c r="E344" s="143"/>
      <c r="F344" s="143"/>
      <c r="G344" s="143"/>
      <c r="H344" s="143"/>
      <c r="I344" s="143"/>
      <c r="J344" s="143"/>
      <c r="K344" s="143"/>
      <c r="L344" s="144"/>
      <c r="M344" s="143"/>
      <c r="N344" s="145"/>
      <c r="O344" s="146"/>
      <c r="P344" s="144"/>
      <c r="Q344" s="147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  <c r="AC344" s="148"/>
      <c r="AD344" s="149"/>
      <c r="AE344" s="150"/>
      <c r="AF344" s="151"/>
      <c r="AG344" s="152"/>
      <c r="AH344" s="149"/>
    </row>
    <row r="345" customFormat="false" ht="12" hidden="false" customHeight="false" outlineLevel="0" collapsed="false">
      <c r="A345" s="134"/>
      <c r="B345" s="135"/>
      <c r="C345" s="143"/>
      <c r="D345" s="143"/>
      <c r="E345" s="143"/>
      <c r="F345" s="143"/>
      <c r="G345" s="143"/>
      <c r="H345" s="143"/>
      <c r="I345" s="143"/>
      <c r="J345" s="143"/>
      <c r="K345" s="143"/>
      <c r="L345" s="144"/>
      <c r="M345" s="143"/>
      <c r="N345" s="145"/>
      <c r="O345" s="146"/>
      <c r="P345" s="144"/>
      <c r="Q345" s="147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  <c r="AC345" s="148"/>
      <c r="AD345" s="149"/>
      <c r="AE345" s="150"/>
      <c r="AF345" s="151"/>
      <c r="AG345" s="152"/>
      <c r="AH345" s="149"/>
    </row>
    <row r="346" customFormat="false" ht="12" hidden="false" customHeight="false" outlineLevel="0" collapsed="false">
      <c r="A346" s="134"/>
      <c r="B346" s="135"/>
      <c r="C346" s="143"/>
      <c r="D346" s="143"/>
      <c r="E346" s="143"/>
      <c r="F346" s="143"/>
      <c r="G346" s="143"/>
      <c r="H346" s="143"/>
      <c r="I346" s="143"/>
      <c r="J346" s="143"/>
      <c r="K346" s="143"/>
      <c r="L346" s="144"/>
      <c r="M346" s="143"/>
      <c r="N346" s="145"/>
      <c r="O346" s="146"/>
      <c r="P346" s="144"/>
      <c r="Q346" s="147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  <c r="AC346" s="148"/>
      <c r="AD346" s="149"/>
      <c r="AE346" s="150"/>
      <c r="AF346" s="151"/>
      <c r="AG346" s="152"/>
      <c r="AH346" s="149"/>
    </row>
    <row r="347" customFormat="false" ht="12" hidden="false" customHeight="false" outlineLevel="0" collapsed="false">
      <c r="A347" s="134"/>
      <c r="B347" s="135"/>
      <c r="C347" s="143"/>
      <c r="D347" s="143"/>
      <c r="E347" s="143"/>
      <c r="F347" s="143"/>
      <c r="G347" s="143"/>
      <c r="H347" s="143"/>
      <c r="I347" s="143"/>
      <c r="J347" s="143"/>
      <c r="K347" s="143"/>
      <c r="L347" s="144"/>
      <c r="M347" s="143"/>
      <c r="N347" s="145"/>
      <c r="O347" s="146"/>
      <c r="P347" s="144"/>
      <c r="Q347" s="147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  <c r="AC347" s="148"/>
      <c r="AD347" s="149"/>
      <c r="AE347" s="150"/>
      <c r="AF347" s="151"/>
      <c r="AG347" s="152"/>
      <c r="AH347" s="149"/>
    </row>
    <row r="348" customFormat="false" ht="12" hidden="false" customHeight="false" outlineLevel="0" collapsed="false">
      <c r="A348" s="134"/>
      <c r="B348" s="135"/>
      <c r="C348" s="143"/>
      <c r="D348" s="143"/>
      <c r="E348" s="143"/>
      <c r="F348" s="143"/>
      <c r="G348" s="143"/>
      <c r="H348" s="143"/>
      <c r="I348" s="143"/>
      <c r="J348" s="143"/>
      <c r="K348" s="143"/>
      <c r="L348" s="144"/>
      <c r="M348" s="143"/>
      <c r="N348" s="145"/>
      <c r="O348" s="146"/>
      <c r="P348" s="144"/>
      <c r="Q348" s="147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  <c r="AC348" s="148"/>
      <c r="AD348" s="149"/>
      <c r="AE348" s="150"/>
      <c r="AF348" s="151"/>
      <c r="AG348" s="152"/>
      <c r="AH348" s="149"/>
    </row>
    <row r="349" customFormat="false" ht="12" hidden="false" customHeight="false" outlineLevel="0" collapsed="false">
      <c r="A349" s="134"/>
      <c r="B349" s="135"/>
      <c r="C349" s="143"/>
      <c r="D349" s="143"/>
      <c r="E349" s="143"/>
      <c r="F349" s="143"/>
      <c r="G349" s="143"/>
      <c r="H349" s="143"/>
      <c r="I349" s="143"/>
      <c r="J349" s="143"/>
      <c r="K349" s="143"/>
      <c r="L349" s="144"/>
      <c r="M349" s="143"/>
      <c r="N349" s="145"/>
      <c r="O349" s="146"/>
      <c r="P349" s="144"/>
      <c r="Q349" s="147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  <c r="AC349" s="148"/>
      <c r="AD349" s="149"/>
      <c r="AE349" s="150"/>
      <c r="AF349" s="151"/>
      <c r="AG349" s="152"/>
      <c r="AH349" s="149"/>
    </row>
    <row r="350" customFormat="false" ht="12" hidden="false" customHeight="false" outlineLevel="0" collapsed="false">
      <c r="A350" s="134"/>
      <c r="B350" s="135"/>
      <c r="C350" s="143"/>
      <c r="D350" s="143"/>
      <c r="E350" s="143"/>
      <c r="F350" s="143"/>
      <c r="G350" s="143"/>
      <c r="H350" s="143"/>
      <c r="I350" s="143"/>
      <c r="J350" s="143"/>
      <c r="K350" s="143"/>
      <c r="L350" s="144"/>
      <c r="M350" s="143"/>
      <c r="N350" s="145"/>
      <c r="O350" s="146"/>
      <c r="P350" s="144"/>
      <c r="Q350" s="147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  <c r="AC350" s="148"/>
      <c r="AD350" s="149"/>
      <c r="AE350" s="150"/>
      <c r="AF350" s="151"/>
      <c r="AG350" s="152"/>
      <c r="AH350" s="149"/>
    </row>
    <row r="351" customFormat="false" ht="12" hidden="false" customHeight="false" outlineLevel="0" collapsed="false">
      <c r="A351" s="134"/>
      <c r="B351" s="135"/>
      <c r="C351" s="143"/>
      <c r="D351" s="143"/>
      <c r="E351" s="143"/>
      <c r="F351" s="143"/>
      <c r="G351" s="143"/>
      <c r="H351" s="143"/>
      <c r="I351" s="143"/>
      <c r="J351" s="143"/>
      <c r="K351" s="143"/>
      <c r="L351" s="144"/>
      <c r="M351" s="143"/>
      <c r="N351" s="145"/>
      <c r="O351" s="146"/>
      <c r="P351" s="144"/>
      <c r="Q351" s="147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  <c r="AC351" s="148"/>
      <c r="AD351" s="149"/>
      <c r="AE351" s="150"/>
      <c r="AF351" s="151"/>
      <c r="AG351" s="152"/>
      <c r="AH351" s="149"/>
    </row>
    <row r="352" customFormat="false" ht="12" hidden="false" customHeight="false" outlineLevel="0" collapsed="false">
      <c r="A352" s="134"/>
      <c r="B352" s="135"/>
      <c r="C352" s="143"/>
      <c r="D352" s="143"/>
      <c r="E352" s="143"/>
      <c r="F352" s="143"/>
      <c r="G352" s="143"/>
      <c r="H352" s="143"/>
      <c r="I352" s="143"/>
      <c r="J352" s="143"/>
      <c r="K352" s="143"/>
      <c r="L352" s="144"/>
      <c r="M352" s="143"/>
      <c r="N352" s="145"/>
      <c r="O352" s="146"/>
      <c r="P352" s="144"/>
      <c r="Q352" s="147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  <c r="AC352" s="148"/>
      <c r="AD352" s="149"/>
      <c r="AE352" s="150"/>
      <c r="AF352" s="151"/>
      <c r="AG352" s="152"/>
      <c r="AH352" s="149"/>
    </row>
    <row r="353" customFormat="false" ht="12" hidden="false" customHeight="false" outlineLevel="0" collapsed="false">
      <c r="A353" s="134"/>
      <c r="B353" s="135"/>
      <c r="C353" s="143"/>
      <c r="D353" s="143"/>
      <c r="E353" s="143"/>
      <c r="F353" s="143"/>
      <c r="G353" s="143"/>
      <c r="H353" s="143"/>
      <c r="I353" s="143"/>
      <c r="J353" s="143"/>
      <c r="K353" s="143"/>
      <c r="L353" s="144"/>
      <c r="M353" s="143"/>
      <c r="N353" s="145"/>
      <c r="O353" s="146"/>
      <c r="P353" s="144"/>
      <c r="Q353" s="147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  <c r="AC353" s="148"/>
      <c r="AD353" s="149"/>
      <c r="AE353" s="150"/>
      <c r="AF353" s="151"/>
      <c r="AG353" s="152"/>
      <c r="AH353" s="149"/>
    </row>
    <row r="354" customFormat="false" ht="12" hidden="false" customHeight="false" outlineLevel="0" collapsed="false">
      <c r="A354" s="134"/>
      <c r="B354" s="135"/>
      <c r="C354" s="143"/>
      <c r="D354" s="143"/>
      <c r="E354" s="143"/>
      <c r="F354" s="143"/>
      <c r="G354" s="143"/>
      <c r="H354" s="143"/>
      <c r="I354" s="143"/>
      <c r="J354" s="143"/>
      <c r="K354" s="143"/>
      <c r="L354" s="144"/>
      <c r="M354" s="143"/>
      <c r="N354" s="145"/>
      <c r="O354" s="146"/>
      <c r="P354" s="144"/>
      <c r="Q354" s="147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  <c r="AC354" s="148"/>
      <c r="AD354" s="149"/>
      <c r="AE354" s="150"/>
      <c r="AF354" s="151"/>
      <c r="AG354" s="152"/>
      <c r="AH354" s="149"/>
    </row>
    <row r="355" customFormat="false" ht="12" hidden="false" customHeight="false" outlineLevel="0" collapsed="false">
      <c r="A355" s="134"/>
      <c r="B355" s="135"/>
      <c r="C355" s="143"/>
      <c r="D355" s="143"/>
      <c r="E355" s="143"/>
      <c r="F355" s="143"/>
      <c r="G355" s="143"/>
      <c r="H355" s="143"/>
      <c r="I355" s="143"/>
      <c r="J355" s="143"/>
      <c r="K355" s="143"/>
      <c r="L355" s="144"/>
      <c r="M355" s="143"/>
      <c r="N355" s="145"/>
      <c r="O355" s="146"/>
      <c r="P355" s="144"/>
      <c r="Q355" s="147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  <c r="AC355" s="148"/>
      <c r="AD355" s="149"/>
      <c r="AE355" s="150"/>
      <c r="AF355" s="151"/>
      <c r="AG355" s="152"/>
      <c r="AH355" s="149"/>
    </row>
    <row r="356" customFormat="false" ht="12" hidden="false" customHeight="false" outlineLevel="0" collapsed="false">
      <c r="A356" s="134"/>
      <c r="B356" s="135"/>
      <c r="C356" s="143"/>
      <c r="D356" s="143"/>
      <c r="E356" s="143"/>
      <c r="F356" s="143"/>
      <c r="G356" s="143"/>
      <c r="H356" s="143"/>
      <c r="I356" s="143"/>
      <c r="J356" s="143"/>
      <c r="K356" s="143"/>
      <c r="L356" s="144"/>
      <c r="M356" s="143"/>
      <c r="N356" s="145"/>
      <c r="O356" s="146"/>
      <c r="P356" s="144"/>
      <c r="Q356" s="147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  <c r="AC356" s="148"/>
      <c r="AD356" s="149"/>
      <c r="AE356" s="150"/>
      <c r="AF356" s="151"/>
      <c r="AG356" s="152"/>
      <c r="AH356" s="149"/>
    </row>
    <row r="357" customFormat="false" ht="12" hidden="false" customHeight="false" outlineLevel="0" collapsed="false">
      <c r="A357" s="134"/>
      <c r="B357" s="135"/>
      <c r="C357" s="143"/>
      <c r="D357" s="143"/>
      <c r="E357" s="143"/>
      <c r="F357" s="143"/>
      <c r="G357" s="143"/>
      <c r="H357" s="143"/>
      <c r="I357" s="143"/>
      <c r="J357" s="143"/>
      <c r="K357" s="143"/>
      <c r="L357" s="144"/>
      <c r="M357" s="143"/>
      <c r="N357" s="145"/>
      <c r="O357" s="146"/>
      <c r="P357" s="144"/>
      <c r="Q357" s="147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  <c r="AC357" s="148"/>
      <c r="AD357" s="149"/>
      <c r="AE357" s="150"/>
      <c r="AF357" s="151"/>
      <c r="AG357" s="152"/>
      <c r="AH357" s="149"/>
    </row>
    <row r="358" customFormat="false" ht="12" hidden="false" customHeight="false" outlineLevel="0" collapsed="false">
      <c r="A358" s="134"/>
      <c r="B358" s="135"/>
      <c r="C358" s="143"/>
      <c r="D358" s="143"/>
      <c r="E358" s="143"/>
      <c r="F358" s="143"/>
      <c r="G358" s="143"/>
      <c r="H358" s="143"/>
      <c r="I358" s="143"/>
      <c r="J358" s="143"/>
      <c r="K358" s="143"/>
      <c r="L358" s="144"/>
      <c r="M358" s="143"/>
      <c r="N358" s="145"/>
      <c r="O358" s="146"/>
      <c r="P358" s="144"/>
      <c r="Q358" s="147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  <c r="AC358" s="148"/>
      <c r="AD358" s="149"/>
      <c r="AE358" s="150"/>
      <c r="AF358" s="151"/>
      <c r="AG358" s="152"/>
      <c r="AH358" s="149"/>
    </row>
    <row r="359" customFormat="false" ht="12" hidden="false" customHeight="false" outlineLevel="0" collapsed="false">
      <c r="A359" s="134"/>
      <c r="B359" s="135"/>
      <c r="C359" s="143"/>
      <c r="D359" s="143"/>
      <c r="E359" s="143"/>
      <c r="F359" s="143"/>
      <c r="G359" s="143"/>
      <c r="H359" s="143"/>
      <c r="I359" s="143"/>
      <c r="J359" s="143"/>
      <c r="K359" s="143"/>
      <c r="L359" s="144"/>
      <c r="M359" s="143"/>
      <c r="N359" s="145"/>
      <c r="O359" s="146"/>
      <c r="P359" s="144"/>
      <c r="Q359" s="147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  <c r="AC359" s="148"/>
      <c r="AD359" s="149"/>
      <c r="AE359" s="150"/>
      <c r="AF359" s="151"/>
      <c r="AG359" s="152"/>
      <c r="AH359" s="149"/>
    </row>
    <row r="360" customFormat="false" ht="12" hidden="false" customHeight="false" outlineLevel="0" collapsed="false">
      <c r="A360" s="134"/>
      <c r="B360" s="135"/>
      <c r="C360" s="143"/>
      <c r="D360" s="143"/>
      <c r="E360" s="143"/>
      <c r="F360" s="143"/>
      <c r="G360" s="143"/>
      <c r="H360" s="143"/>
      <c r="I360" s="143"/>
      <c r="J360" s="143"/>
      <c r="K360" s="143"/>
      <c r="L360" s="144"/>
      <c r="M360" s="143"/>
      <c r="N360" s="145"/>
      <c r="O360" s="146"/>
      <c r="P360" s="144"/>
      <c r="Q360" s="147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  <c r="AC360" s="148"/>
      <c r="AD360" s="149"/>
      <c r="AE360" s="150"/>
      <c r="AF360" s="151"/>
      <c r="AG360" s="152"/>
      <c r="AH360" s="149"/>
    </row>
    <row r="361" customFormat="false" ht="12" hidden="false" customHeight="false" outlineLevel="0" collapsed="false">
      <c r="A361" s="134"/>
      <c r="B361" s="135"/>
      <c r="C361" s="143"/>
      <c r="D361" s="143"/>
      <c r="E361" s="143"/>
      <c r="F361" s="143"/>
      <c r="G361" s="143"/>
      <c r="H361" s="143"/>
      <c r="I361" s="143"/>
      <c r="J361" s="143"/>
      <c r="K361" s="143"/>
      <c r="L361" s="144"/>
      <c r="M361" s="143"/>
      <c r="N361" s="145"/>
      <c r="O361" s="146"/>
      <c r="P361" s="144"/>
      <c r="Q361" s="147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  <c r="AC361" s="148"/>
      <c r="AD361" s="149"/>
      <c r="AE361" s="150"/>
      <c r="AF361" s="151"/>
      <c r="AG361" s="152"/>
      <c r="AH361" s="149"/>
    </row>
    <row r="362" customFormat="false" ht="12" hidden="false" customHeight="false" outlineLevel="0" collapsed="false">
      <c r="A362" s="134"/>
      <c r="B362" s="135"/>
      <c r="C362" s="143"/>
      <c r="D362" s="143"/>
      <c r="E362" s="143"/>
      <c r="F362" s="143"/>
      <c r="G362" s="143"/>
      <c r="H362" s="143"/>
      <c r="I362" s="143"/>
      <c r="J362" s="143"/>
      <c r="K362" s="143"/>
      <c r="L362" s="144"/>
      <c r="M362" s="143"/>
      <c r="N362" s="145"/>
      <c r="O362" s="146"/>
      <c r="P362" s="144"/>
      <c r="Q362" s="147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  <c r="AC362" s="148"/>
      <c r="AD362" s="149"/>
      <c r="AE362" s="150"/>
      <c r="AF362" s="151"/>
      <c r="AG362" s="152"/>
      <c r="AH362" s="149"/>
    </row>
    <row r="363" customFormat="false" ht="12" hidden="false" customHeight="false" outlineLevel="0" collapsed="false">
      <c r="A363" s="134"/>
      <c r="B363" s="135"/>
      <c r="C363" s="143"/>
      <c r="D363" s="143"/>
      <c r="E363" s="143"/>
      <c r="F363" s="143"/>
      <c r="G363" s="143"/>
      <c r="H363" s="143"/>
      <c r="I363" s="143"/>
      <c r="J363" s="143"/>
      <c r="K363" s="143"/>
      <c r="L363" s="144"/>
      <c r="M363" s="143"/>
      <c r="N363" s="145"/>
      <c r="O363" s="146"/>
      <c r="P363" s="144"/>
      <c r="Q363" s="147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  <c r="AC363" s="148"/>
      <c r="AD363" s="149"/>
      <c r="AE363" s="150"/>
      <c r="AF363" s="151"/>
      <c r="AG363" s="152"/>
      <c r="AH363" s="149"/>
    </row>
    <row r="364" customFormat="false" ht="12" hidden="false" customHeight="false" outlineLevel="0" collapsed="false">
      <c r="A364" s="134"/>
      <c r="B364" s="135"/>
      <c r="C364" s="143"/>
      <c r="D364" s="143"/>
      <c r="E364" s="143"/>
      <c r="F364" s="143"/>
      <c r="G364" s="143"/>
      <c r="H364" s="143"/>
      <c r="I364" s="143"/>
      <c r="J364" s="143"/>
      <c r="K364" s="143"/>
      <c r="L364" s="144"/>
      <c r="M364" s="143"/>
      <c r="N364" s="145"/>
      <c r="O364" s="146"/>
      <c r="P364" s="144"/>
      <c r="Q364" s="147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  <c r="AC364" s="148"/>
      <c r="AD364" s="149"/>
      <c r="AE364" s="150"/>
      <c r="AF364" s="151"/>
      <c r="AG364" s="152"/>
      <c r="AH364" s="149"/>
    </row>
    <row r="365" customFormat="false" ht="12" hidden="false" customHeight="false" outlineLevel="0" collapsed="false">
      <c r="A365" s="134"/>
      <c r="B365" s="135"/>
      <c r="C365" s="143"/>
      <c r="D365" s="143"/>
      <c r="E365" s="143"/>
      <c r="F365" s="143"/>
      <c r="G365" s="143"/>
      <c r="H365" s="143"/>
      <c r="I365" s="143"/>
      <c r="J365" s="143"/>
      <c r="K365" s="143"/>
      <c r="L365" s="144"/>
      <c r="M365" s="143"/>
      <c r="N365" s="145"/>
      <c r="O365" s="146"/>
      <c r="P365" s="144"/>
      <c r="Q365" s="147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  <c r="AC365" s="148"/>
      <c r="AD365" s="149"/>
      <c r="AE365" s="150"/>
      <c r="AF365" s="151"/>
      <c r="AG365" s="152"/>
      <c r="AH365" s="149"/>
    </row>
    <row r="366" customFormat="false" ht="12" hidden="false" customHeight="false" outlineLevel="0" collapsed="false">
      <c r="A366" s="134"/>
      <c r="B366" s="135"/>
      <c r="C366" s="143"/>
      <c r="D366" s="143"/>
      <c r="E366" s="143"/>
      <c r="F366" s="143"/>
      <c r="G366" s="143"/>
      <c r="H366" s="143"/>
      <c r="I366" s="143"/>
      <c r="J366" s="143"/>
      <c r="K366" s="143"/>
      <c r="L366" s="144"/>
      <c r="M366" s="143"/>
      <c r="N366" s="145"/>
      <c r="O366" s="146"/>
      <c r="P366" s="144"/>
      <c r="Q366" s="147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  <c r="AC366" s="148"/>
      <c r="AD366" s="149"/>
      <c r="AE366" s="150"/>
      <c r="AF366" s="151"/>
      <c r="AG366" s="152"/>
      <c r="AH366" s="149"/>
    </row>
    <row r="367" customFormat="false" ht="12" hidden="false" customHeight="false" outlineLevel="0" collapsed="false">
      <c r="A367" s="134"/>
      <c r="B367" s="135"/>
      <c r="C367" s="143"/>
      <c r="D367" s="143"/>
      <c r="E367" s="143"/>
      <c r="F367" s="143"/>
      <c r="G367" s="143"/>
      <c r="H367" s="143"/>
      <c r="I367" s="143"/>
      <c r="J367" s="143"/>
      <c r="K367" s="143"/>
      <c r="L367" s="144"/>
      <c r="M367" s="143"/>
      <c r="N367" s="145"/>
      <c r="O367" s="146"/>
      <c r="P367" s="144"/>
      <c r="Q367" s="147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  <c r="AC367" s="148"/>
      <c r="AD367" s="149"/>
      <c r="AE367" s="150"/>
      <c r="AF367" s="151"/>
      <c r="AG367" s="152"/>
      <c r="AH367" s="149"/>
    </row>
    <row r="368" customFormat="false" ht="12" hidden="false" customHeight="false" outlineLevel="0" collapsed="false">
      <c r="A368" s="134"/>
      <c r="B368" s="135"/>
      <c r="C368" s="143"/>
      <c r="D368" s="143"/>
      <c r="E368" s="143"/>
      <c r="F368" s="143"/>
      <c r="G368" s="143"/>
      <c r="H368" s="143"/>
      <c r="I368" s="143"/>
      <c r="J368" s="143"/>
      <c r="K368" s="143"/>
      <c r="L368" s="144"/>
      <c r="M368" s="143"/>
      <c r="N368" s="145"/>
      <c r="O368" s="146"/>
      <c r="P368" s="144"/>
      <c r="Q368" s="147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  <c r="AC368" s="148"/>
      <c r="AD368" s="149"/>
      <c r="AE368" s="150"/>
      <c r="AF368" s="151"/>
      <c r="AG368" s="152"/>
      <c r="AH368" s="149"/>
    </row>
    <row r="369" customFormat="false" ht="12" hidden="false" customHeight="false" outlineLevel="0" collapsed="false">
      <c r="A369" s="134"/>
      <c r="B369" s="135"/>
      <c r="C369" s="143"/>
      <c r="D369" s="143"/>
      <c r="E369" s="143"/>
      <c r="F369" s="143"/>
      <c r="G369" s="143"/>
      <c r="H369" s="143"/>
      <c r="I369" s="143"/>
      <c r="J369" s="143"/>
      <c r="K369" s="143"/>
      <c r="L369" s="144"/>
      <c r="M369" s="143"/>
      <c r="N369" s="145"/>
      <c r="O369" s="146"/>
      <c r="P369" s="144"/>
      <c r="Q369" s="147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  <c r="AC369" s="148"/>
      <c r="AD369" s="149"/>
      <c r="AE369" s="150"/>
      <c r="AF369" s="151"/>
      <c r="AG369" s="152"/>
      <c r="AH369" s="149"/>
    </row>
    <row r="370" customFormat="false" ht="12" hidden="false" customHeight="false" outlineLevel="0" collapsed="false">
      <c r="A370" s="134"/>
      <c r="B370" s="135"/>
      <c r="C370" s="143"/>
      <c r="D370" s="143"/>
      <c r="E370" s="143"/>
      <c r="F370" s="143"/>
      <c r="G370" s="143"/>
      <c r="H370" s="143"/>
      <c r="I370" s="143"/>
      <c r="J370" s="143"/>
      <c r="K370" s="143"/>
      <c r="L370" s="144"/>
      <c r="M370" s="143"/>
      <c r="N370" s="145"/>
      <c r="O370" s="146"/>
      <c r="P370" s="144"/>
      <c r="Q370" s="147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  <c r="AC370" s="148"/>
      <c r="AD370" s="149"/>
      <c r="AE370" s="150"/>
      <c r="AF370" s="151"/>
      <c r="AG370" s="152"/>
      <c r="AH370" s="149"/>
    </row>
    <row r="371" customFormat="false" ht="12" hidden="false" customHeight="false" outlineLevel="0" collapsed="false">
      <c r="A371" s="134"/>
      <c r="B371" s="135"/>
      <c r="C371" s="143"/>
      <c r="D371" s="143"/>
      <c r="E371" s="143"/>
      <c r="F371" s="143"/>
      <c r="G371" s="143"/>
      <c r="H371" s="143"/>
      <c r="I371" s="143"/>
      <c r="J371" s="143"/>
      <c r="K371" s="143"/>
      <c r="L371" s="144"/>
      <c r="M371" s="143"/>
      <c r="N371" s="145"/>
      <c r="O371" s="146"/>
      <c r="P371" s="144"/>
      <c r="Q371" s="147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  <c r="AC371" s="148"/>
      <c r="AD371" s="149"/>
      <c r="AE371" s="150"/>
      <c r="AF371" s="151"/>
      <c r="AG371" s="152"/>
      <c r="AH371" s="149"/>
    </row>
    <row r="372" customFormat="false" ht="12" hidden="false" customHeight="false" outlineLevel="0" collapsed="false">
      <c r="A372" s="134"/>
      <c r="B372" s="135"/>
      <c r="C372" s="143"/>
      <c r="D372" s="143"/>
      <c r="E372" s="143"/>
      <c r="F372" s="143"/>
      <c r="G372" s="143"/>
      <c r="H372" s="143"/>
      <c r="I372" s="143"/>
      <c r="J372" s="143"/>
      <c r="K372" s="143"/>
      <c r="L372" s="144"/>
      <c r="M372" s="143"/>
      <c r="N372" s="145"/>
      <c r="O372" s="146"/>
      <c r="P372" s="144"/>
      <c r="Q372" s="147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  <c r="AC372" s="148"/>
      <c r="AD372" s="149"/>
      <c r="AE372" s="150"/>
      <c r="AF372" s="151"/>
      <c r="AG372" s="152"/>
      <c r="AH372" s="149"/>
    </row>
    <row r="373" customFormat="false" ht="12" hidden="false" customHeight="false" outlineLevel="0" collapsed="false">
      <c r="A373" s="134"/>
      <c r="B373" s="135"/>
      <c r="C373" s="143"/>
      <c r="D373" s="143"/>
      <c r="E373" s="143"/>
      <c r="F373" s="143"/>
      <c r="G373" s="143"/>
      <c r="H373" s="143"/>
      <c r="I373" s="143"/>
      <c r="J373" s="143"/>
      <c r="K373" s="143"/>
      <c r="L373" s="144"/>
      <c r="M373" s="143"/>
      <c r="N373" s="145"/>
      <c r="O373" s="146"/>
      <c r="P373" s="144"/>
      <c r="Q373" s="147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  <c r="AC373" s="148"/>
      <c r="AD373" s="149"/>
      <c r="AE373" s="150"/>
      <c r="AF373" s="151"/>
      <c r="AG373" s="152"/>
      <c r="AH373" s="149"/>
    </row>
    <row r="374" customFormat="false" ht="12" hidden="false" customHeight="false" outlineLevel="0" collapsed="false">
      <c r="A374" s="134"/>
      <c r="B374" s="135"/>
      <c r="C374" s="143"/>
      <c r="D374" s="143"/>
      <c r="E374" s="143"/>
      <c r="F374" s="143"/>
      <c r="G374" s="143"/>
      <c r="H374" s="143"/>
      <c r="I374" s="143"/>
      <c r="J374" s="143"/>
      <c r="K374" s="143"/>
      <c r="L374" s="144"/>
      <c r="M374" s="143"/>
      <c r="N374" s="145"/>
      <c r="O374" s="146"/>
      <c r="P374" s="144"/>
      <c r="Q374" s="147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  <c r="AC374" s="148"/>
      <c r="AD374" s="149"/>
      <c r="AE374" s="150"/>
      <c r="AF374" s="151"/>
      <c r="AG374" s="152"/>
      <c r="AH374" s="149"/>
    </row>
    <row r="375" customFormat="false" ht="12" hidden="false" customHeight="false" outlineLevel="0" collapsed="false">
      <c r="A375" s="134"/>
      <c r="B375" s="135"/>
      <c r="C375" s="143"/>
      <c r="D375" s="143"/>
      <c r="E375" s="143"/>
      <c r="F375" s="143"/>
      <c r="G375" s="143"/>
      <c r="H375" s="143"/>
      <c r="I375" s="143"/>
      <c r="J375" s="143"/>
      <c r="K375" s="143"/>
      <c r="L375" s="144"/>
      <c r="M375" s="143"/>
      <c r="N375" s="145"/>
      <c r="O375" s="146"/>
      <c r="P375" s="144"/>
      <c r="Q375" s="147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  <c r="AC375" s="148"/>
      <c r="AD375" s="149"/>
      <c r="AE375" s="150"/>
      <c r="AF375" s="151"/>
      <c r="AG375" s="152"/>
      <c r="AH375" s="149"/>
    </row>
    <row r="376" customFormat="false" ht="12" hidden="false" customHeight="false" outlineLevel="0" collapsed="false">
      <c r="A376" s="134"/>
      <c r="B376" s="135"/>
      <c r="C376" s="143"/>
      <c r="D376" s="143"/>
      <c r="E376" s="143"/>
      <c r="F376" s="143"/>
      <c r="G376" s="143"/>
      <c r="H376" s="143"/>
      <c r="I376" s="143"/>
      <c r="J376" s="143"/>
      <c r="K376" s="143"/>
      <c r="L376" s="144"/>
      <c r="M376" s="143"/>
      <c r="N376" s="145"/>
      <c r="O376" s="146"/>
      <c r="P376" s="144"/>
      <c r="Q376" s="147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  <c r="AC376" s="148"/>
      <c r="AD376" s="149"/>
      <c r="AE376" s="150"/>
      <c r="AF376" s="151"/>
      <c r="AG376" s="152"/>
      <c r="AH376" s="149"/>
    </row>
    <row r="377" customFormat="false" ht="12" hidden="false" customHeight="false" outlineLevel="0" collapsed="false">
      <c r="A377" s="134"/>
      <c r="B377" s="135"/>
      <c r="C377" s="143"/>
      <c r="D377" s="143"/>
      <c r="E377" s="143"/>
      <c r="F377" s="143"/>
      <c r="G377" s="143"/>
      <c r="H377" s="143"/>
      <c r="I377" s="143"/>
      <c r="J377" s="143"/>
      <c r="K377" s="143"/>
      <c r="L377" s="144"/>
      <c r="M377" s="143"/>
      <c r="N377" s="145"/>
      <c r="O377" s="146"/>
      <c r="P377" s="144"/>
      <c r="Q377" s="147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9"/>
      <c r="AE377" s="150"/>
      <c r="AF377" s="151"/>
      <c r="AG377" s="152"/>
      <c r="AH377" s="149"/>
    </row>
    <row r="378" customFormat="false" ht="12" hidden="false" customHeight="false" outlineLevel="0" collapsed="false">
      <c r="A378" s="134"/>
      <c r="B378" s="135"/>
      <c r="C378" s="143"/>
      <c r="D378" s="143"/>
      <c r="E378" s="143"/>
      <c r="F378" s="143"/>
      <c r="G378" s="143"/>
      <c r="H378" s="143"/>
      <c r="I378" s="143"/>
      <c r="J378" s="143"/>
      <c r="K378" s="143"/>
      <c r="L378" s="144"/>
      <c r="M378" s="143"/>
      <c r="N378" s="145"/>
      <c r="O378" s="146"/>
      <c r="P378" s="144"/>
      <c r="Q378" s="147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  <c r="AC378" s="148"/>
      <c r="AD378" s="149"/>
      <c r="AE378" s="150"/>
      <c r="AF378" s="151"/>
      <c r="AG378" s="152"/>
      <c r="AH378" s="149"/>
    </row>
    <row r="379" customFormat="false" ht="12" hidden="false" customHeight="false" outlineLevel="0" collapsed="false">
      <c r="A379" s="134"/>
      <c r="B379" s="135"/>
      <c r="C379" s="143"/>
      <c r="D379" s="143"/>
      <c r="E379" s="143"/>
      <c r="F379" s="143"/>
      <c r="G379" s="143"/>
      <c r="H379" s="143"/>
      <c r="I379" s="143"/>
      <c r="J379" s="143"/>
      <c r="K379" s="143"/>
      <c r="L379" s="144"/>
      <c r="M379" s="143"/>
      <c r="N379" s="145"/>
      <c r="O379" s="146"/>
      <c r="P379" s="144"/>
      <c r="Q379" s="147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  <c r="AC379" s="148"/>
      <c r="AD379" s="149"/>
      <c r="AE379" s="150"/>
      <c r="AF379" s="151"/>
      <c r="AG379" s="152"/>
      <c r="AH379" s="149"/>
    </row>
    <row r="380" customFormat="false" ht="12" hidden="false" customHeight="false" outlineLevel="0" collapsed="false">
      <c r="A380" s="134"/>
      <c r="B380" s="135"/>
      <c r="C380" s="143"/>
      <c r="D380" s="143"/>
      <c r="E380" s="143"/>
      <c r="F380" s="143"/>
      <c r="G380" s="143"/>
      <c r="H380" s="143"/>
      <c r="I380" s="143"/>
      <c r="J380" s="143"/>
      <c r="K380" s="143"/>
      <c r="L380" s="144"/>
      <c r="M380" s="143"/>
      <c r="N380" s="145"/>
      <c r="O380" s="146"/>
      <c r="P380" s="144"/>
      <c r="Q380" s="147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  <c r="AC380" s="148"/>
      <c r="AD380" s="149"/>
      <c r="AE380" s="150"/>
      <c r="AF380" s="151"/>
      <c r="AG380" s="152"/>
      <c r="AH380" s="149"/>
    </row>
    <row r="381" customFormat="false" ht="12" hidden="false" customHeight="false" outlineLevel="0" collapsed="false">
      <c r="A381" s="134"/>
      <c r="B381" s="135"/>
      <c r="C381" s="143"/>
      <c r="D381" s="143"/>
      <c r="E381" s="143"/>
      <c r="F381" s="143"/>
      <c r="G381" s="143"/>
      <c r="H381" s="143"/>
      <c r="I381" s="143"/>
      <c r="J381" s="143"/>
      <c r="K381" s="143"/>
      <c r="L381" s="144"/>
      <c r="M381" s="143"/>
      <c r="N381" s="145"/>
      <c r="O381" s="146"/>
      <c r="P381" s="144"/>
      <c r="Q381" s="147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  <c r="AC381" s="148"/>
      <c r="AD381" s="149"/>
      <c r="AE381" s="150"/>
      <c r="AF381" s="151"/>
      <c r="AG381" s="152"/>
      <c r="AH381" s="149"/>
    </row>
    <row r="382" customFormat="false" ht="12" hidden="false" customHeight="false" outlineLevel="0" collapsed="false">
      <c r="A382" s="134"/>
      <c r="B382" s="135"/>
      <c r="C382" s="143"/>
      <c r="D382" s="143"/>
      <c r="E382" s="143"/>
      <c r="F382" s="143"/>
      <c r="G382" s="143"/>
      <c r="H382" s="143"/>
      <c r="I382" s="143"/>
      <c r="J382" s="143"/>
      <c r="K382" s="143"/>
      <c r="L382" s="144"/>
      <c r="M382" s="143"/>
      <c r="N382" s="145"/>
      <c r="O382" s="146"/>
      <c r="P382" s="144"/>
      <c r="Q382" s="147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  <c r="AC382" s="148"/>
      <c r="AD382" s="149"/>
      <c r="AE382" s="150"/>
      <c r="AF382" s="151"/>
      <c r="AG382" s="152"/>
      <c r="AH382" s="149"/>
    </row>
    <row r="383" customFormat="false" ht="12" hidden="false" customHeight="false" outlineLevel="0" collapsed="false">
      <c r="A383" s="134"/>
      <c r="B383" s="135"/>
      <c r="C383" s="143"/>
      <c r="D383" s="143"/>
      <c r="E383" s="143"/>
      <c r="F383" s="143"/>
      <c r="G383" s="143"/>
      <c r="H383" s="143"/>
      <c r="I383" s="143"/>
      <c r="J383" s="143"/>
      <c r="K383" s="143"/>
      <c r="L383" s="144"/>
      <c r="M383" s="143"/>
      <c r="N383" s="145"/>
      <c r="O383" s="146"/>
      <c r="P383" s="144"/>
      <c r="Q383" s="147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  <c r="AC383" s="148"/>
      <c r="AD383" s="149"/>
      <c r="AE383" s="150"/>
      <c r="AF383" s="151"/>
      <c r="AG383" s="152"/>
      <c r="AH383" s="149"/>
    </row>
    <row r="384" customFormat="false" ht="12" hidden="false" customHeight="false" outlineLevel="0" collapsed="false">
      <c r="A384" s="134"/>
      <c r="B384" s="135"/>
      <c r="C384" s="143"/>
      <c r="D384" s="143"/>
      <c r="E384" s="143"/>
      <c r="F384" s="143"/>
      <c r="G384" s="143"/>
      <c r="H384" s="143"/>
      <c r="I384" s="143"/>
      <c r="J384" s="143"/>
      <c r="K384" s="143"/>
      <c r="L384" s="144"/>
      <c r="M384" s="143"/>
      <c r="N384" s="145"/>
      <c r="O384" s="146"/>
      <c r="P384" s="144"/>
      <c r="Q384" s="147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  <c r="AC384" s="148"/>
      <c r="AD384" s="149"/>
      <c r="AE384" s="150"/>
      <c r="AF384" s="151"/>
      <c r="AG384" s="152"/>
      <c r="AH384" s="149"/>
    </row>
    <row r="385" customFormat="false" ht="12" hidden="false" customHeight="false" outlineLevel="0" collapsed="false">
      <c r="A385" s="134"/>
      <c r="B385" s="135"/>
      <c r="C385" s="143"/>
      <c r="D385" s="143"/>
      <c r="E385" s="143"/>
      <c r="F385" s="143"/>
      <c r="G385" s="143"/>
      <c r="H385" s="143"/>
      <c r="I385" s="143"/>
      <c r="J385" s="143"/>
      <c r="K385" s="143"/>
      <c r="L385" s="144"/>
      <c r="M385" s="143"/>
      <c r="N385" s="145"/>
      <c r="O385" s="146"/>
      <c r="P385" s="144"/>
      <c r="Q385" s="147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  <c r="AC385" s="148"/>
      <c r="AD385" s="149"/>
      <c r="AE385" s="150"/>
      <c r="AF385" s="151"/>
      <c r="AG385" s="152"/>
      <c r="AH385" s="149"/>
    </row>
    <row r="386" customFormat="false" ht="12" hidden="false" customHeight="false" outlineLevel="0" collapsed="false">
      <c r="A386" s="134"/>
      <c r="B386" s="135"/>
      <c r="C386" s="143"/>
      <c r="D386" s="143"/>
      <c r="E386" s="143"/>
      <c r="F386" s="143"/>
      <c r="G386" s="143"/>
      <c r="H386" s="143"/>
      <c r="I386" s="143"/>
      <c r="J386" s="143"/>
      <c r="K386" s="143"/>
      <c r="L386" s="144"/>
      <c r="M386" s="143"/>
      <c r="N386" s="145"/>
      <c r="O386" s="146"/>
      <c r="P386" s="144"/>
      <c r="Q386" s="147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  <c r="AC386" s="148"/>
      <c r="AD386" s="149"/>
      <c r="AE386" s="150"/>
      <c r="AF386" s="151"/>
      <c r="AG386" s="152"/>
      <c r="AH386" s="149"/>
    </row>
    <row r="387" customFormat="false" ht="12" hidden="false" customHeight="false" outlineLevel="0" collapsed="false">
      <c r="A387" s="134"/>
      <c r="B387" s="135"/>
      <c r="C387" s="143"/>
      <c r="D387" s="143"/>
      <c r="E387" s="143"/>
      <c r="F387" s="143"/>
      <c r="G387" s="143"/>
      <c r="H387" s="143"/>
      <c r="I387" s="143"/>
      <c r="J387" s="143"/>
      <c r="K387" s="143"/>
      <c r="L387" s="144"/>
      <c r="M387" s="143"/>
      <c r="N387" s="145"/>
      <c r="O387" s="146"/>
      <c r="P387" s="144"/>
      <c r="Q387" s="147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  <c r="AC387" s="148"/>
      <c r="AD387" s="149"/>
      <c r="AE387" s="150"/>
      <c r="AF387" s="151"/>
      <c r="AG387" s="152"/>
      <c r="AH387" s="149"/>
    </row>
    <row r="388" customFormat="false" ht="12" hidden="false" customHeight="false" outlineLevel="0" collapsed="false">
      <c r="A388" s="134"/>
      <c r="B388" s="135"/>
      <c r="C388" s="143"/>
      <c r="D388" s="143"/>
      <c r="E388" s="143"/>
      <c r="F388" s="143"/>
      <c r="G388" s="143"/>
      <c r="H388" s="143"/>
      <c r="I388" s="143"/>
      <c r="J388" s="143"/>
      <c r="K388" s="143"/>
      <c r="L388" s="144"/>
      <c r="M388" s="143"/>
      <c r="N388" s="145"/>
      <c r="O388" s="146"/>
      <c r="P388" s="144"/>
      <c r="Q388" s="147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  <c r="AC388" s="148"/>
      <c r="AD388" s="149"/>
      <c r="AE388" s="150"/>
      <c r="AF388" s="151"/>
      <c r="AG388" s="152"/>
      <c r="AH388" s="149"/>
    </row>
    <row r="389" customFormat="false" ht="12" hidden="false" customHeight="false" outlineLevel="0" collapsed="false">
      <c r="A389" s="134"/>
      <c r="B389" s="135"/>
      <c r="C389" s="143"/>
      <c r="D389" s="143"/>
      <c r="E389" s="143"/>
      <c r="F389" s="143"/>
      <c r="G389" s="143"/>
      <c r="H389" s="143"/>
      <c r="I389" s="143"/>
      <c r="J389" s="143"/>
      <c r="K389" s="143"/>
      <c r="L389" s="144"/>
      <c r="M389" s="143"/>
      <c r="N389" s="145"/>
      <c r="O389" s="146"/>
      <c r="P389" s="144"/>
      <c r="Q389" s="147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  <c r="AC389" s="148"/>
      <c r="AD389" s="149"/>
      <c r="AE389" s="150"/>
      <c r="AF389" s="151"/>
      <c r="AG389" s="152"/>
      <c r="AH389" s="149"/>
    </row>
    <row r="390" customFormat="false" ht="12" hidden="false" customHeight="false" outlineLevel="0" collapsed="false">
      <c r="A390" s="134"/>
      <c r="B390" s="135"/>
      <c r="C390" s="143"/>
      <c r="D390" s="143"/>
      <c r="E390" s="143"/>
      <c r="F390" s="143"/>
      <c r="G390" s="143"/>
      <c r="H390" s="143"/>
      <c r="I390" s="143"/>
      <c r="J390" s="143"/>
      <c r="K390" s="143"/>
      <c r="L390" s="144"/>
      <c r="M390" s="143"/>
      <c r="N390" s="145"/>
      <c r="O390" s="146"/>
      <c r="P390" s="144"/>
      <c r="Q390" s="147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  <c r="AC390" s="148"/>
      <c r="AD390" s="149"/>
      <c r="AE390" s="150"/>
      <c r="AF390" s="151"/>
      <c r="AG390" s="152"/>
      <c r="AH390" s="149"/>
    </row>
    <row r="391" customFormat="false" ht="12" hidden="false" customHeight="false" outlineLevel="0" collapsed="false">
      <c r="A391" s="134"/>
      <c r="B391" s="135"/>
      <c r="C391" s="143"/>
      <c r="D391" s="143"/>
      <c r="E391" s="143"/>
      <c r="F391" s="143"/>
      <c r="G391" s="143"/>
      <c r="H391" s="143"/>
      <c r="I391" s="143"/>
      <c r="J391" s="143"/>
      <c r="K391" s="143"/>
      <c r="L391" s="144"/>
      <c r="M391" s="143"/>
      <c r="N391" s="145"/>
      <c r="O391" s="146"/>
      <c r="P391" s="144"/>
      <c r="Q391" s="147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  <c r="AC391" s="148"/>
      <c r="AD391" s="149"/>
      <c r="AE391" s="150"/>
      <c r="AF391" s="151"/>
      <c r="AG391" s="152"/>
      <c r="AH391" s="149"/>
    </row>
    <row r="392" customFormat="false" ht="12" hidden="false" customHeight="false" outlineLevel="0" collapsed="false">
      <c r="A392" s="134"/>
      <c r="B392" s="135"/>
      <c r="C392" s="143"/>
      <c r="D392" s="143"/>
      <c r="E392" s="143"/>
      <c r="F392" s="143"/>
      <c r="G392" s="143"/>
      <c r="H392" s="143"/>
      <c r="I392" s="143"/>
      <c r="J392" s="143"/>
      <c r="K392" s="143"/>
      <c r="L392" s="144"/>
      <c r="M392" s="143"/>
      <c r="N392" s="145"/>
      <c r="O392" s="146"/>
      <c r="P392" s="144"/>
      <c r="Q392" s="147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  <c r="AC392" s="148"/>
      <c r="AD392" s="149"/>
      <c r="AE392" s="150"/>
      <c r="AF392" s="151"/>
      <c r="AG392" s="152"/>
      <c r="AH392" s="149"/>
    </row>
    <row r="393" customFormat="false" ht="12" hidden="false" customHeight="false" outlineLevel="0" collapsed="false">
      <c r="A393" s="134"/>
      <c r="B393" s="135"/>
      <c r="C393" s="143"/>
      <c r="D393" s="143"/>
      <c r="E393" s="143"/>
      <c r="F393" s="143"/>
      <c r="G393" s="143"/>
      <c r="H393" s="143"/>
      <c r="I393" s="143"/>
      <c r="J393" s="143"/>
      <c r="K393" s="143"/>
      <c r="L393" s="144"/>
      <c r="M393" s="143"/>
      <c r="N393" s="145"/>
      <c r="O393" s="146"/>
      <c r="P393" s="144"/>
      <c r="Q393" s="147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  <c r="AC393" s="148"/>
      <c r="AD393" s="149"/>
      <c r="AE393" s="150"/>
      <c r="AF393" s="151"/>
      <c r="AG393" s="152"/>
      <c r="AH393" s="149"/>
    </row>
    <row r="394" customFormat="false" ht="12" hidden="false" customHeight="false" outlineLevel="0" collapsed="false">
      <c r="A394" s="134"/>
      <c r="B394" s="135"/>
      <c r="C394" s="143"/>
      <c r="D394" s="143"/>
      <c r="E394" s="143"/>
      <c r="F394" s="143"/>
      <c r="G394" s="143"/>
      <c r="H394" s="143"/>
      <c r="I394" s="143"/>
      <c r="J394" s="143"/>
      <c r="K394" s="143"/>
      <c r="L394" s="144"/>
      <c r="M394" s="143"/>
      <c r="N394" s="145"/>
      <c r="O394" s="146"/>
      <c r="P394" s="144"/>
      <c r="Q394" s="147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  <c r="AC394" s="148"/>
      <c r="AD394" s="149"/>
      <c r="AE394" s="150"/>
      <c r="AF394" s="151"/>
      <c r="AG394" s="152"/>
      <c r="AH394" s="149"/>
    </row>
    <row r="395" customFormat="false" ht="12" hidden="false" customHeight="false" outlineLevel="0" collapsed="false">
      <c r="A395" s="134"/>
      <c r="B395" s="135"/>
      <c r="C395" s="143"/>
      <c r="D395" s="143"/>
      <c r="E395" s="143"/>
      <c r="F395" s="143"/>
      <c r="G395" s="143"/>
      <c r="H395" s="143"/>
      <c r="I395" s="143"/>
      <c r="J395" s="143"/>
      <c r="K395" s="143"/>
      <c r="L395" s="144"/>
      <c r="M395" s="143"/>
      <c r="N395" s="145"/>
      <c r="O395" s="146"/>
      <c r="P395" s="144"/>
      <c r="Q395" s="147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  <c r="AC395" s="148"/>
      <c r="AD395" s="149"/>
      <c r="AE395" s="150"/>
      <c r="AF395" s="151"/>
      <c r="AG395" s="152"/>
      <c r="AH395" s="149"/>
    </row>
    <row r="396" customFormat="false" ht="12" hidden="false" customHeight="false" outlineLevel="0" collapsed="false">
      <c r="A396" s="134"/>
      <c r="B396" s="135"/>
      <c r="C396" s="143"/>
      <c r="D396" s="143"/>
      <c r="E396" s="143"/>
      <c r="F396" s="143"/>
      <c r="G396" s="143"/>
      <c r="H396" s="143"/>
      <c r="I396" s="143"/>
      <c r="J396" s="143"/>
      <c r="K396" s="143"/>
      <c r="L396" s="144"/>
      <c r="M396" s="143"/>
      <c r="N396" s="145"/>
      <c r="O396" s="146"/>
      <c r="P396" s="144"/>
      <c r="Q396" s="147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  <c r="AC396" s="148"/>
      <c r="AD396" s="149"/>
      <c r="AE396" s="150"/>
      <c r="AF396" s="151"/>
      <c r="AG396" s="152"/>
      <c r="AH396" s="149"/>
    </row>
    <row r="397" customFormat="false" ht="12" hidden="false" customHeight="false" outlineLevel="0" collapsed="false">
      <c r="A397" s="134"/>
      <c r="B397" s="135"/>
      <c r="C397" s="143"/>
      <c r="D397" s="143"/>
      <c r="E397" s="143"/>
      <c r="F397" s="143"/>
      <c r="G397" s="143"/>
      <c r="H397" s="143"/>
      <c r="I397" s="143"/>
      <c r="J397" s="143"/>
      <c r="K397" s="143"/>
      <c r="L397" s="144"/>
      <c r="M397" s="143"/>
      <c r="N397" s="145"/>
      <c r="O397" s="146"/>
      <c r="P397" s="144"/>
      <c r="Q397" s="147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  <c r="AC397" s="148"/>
      <c r="AD397" s="149"/>
      <c r="AE397" s="150"/>
      <c r="AF397" s="151"/>
      <c r="AG397" s="152"/>
      <c r="AH397" s="149"/>
    </row>
    <row r="398" customFormat="false" ht="12" hidden="false" customHeight="false" outlineLevel="0" collapsed="false">
      <c r="A398" s="134"/>
      <c r="B398" s="135"/>
      <c r="C398" s="143"/>
      <c r="D398" s="143"/>
      <c r="E398" s="143"/>
      <c r="F398" s="143"/>
      <c r="G398" s="143"/>
      <c r="H398" s="143"/>
      <c r="I398" s="143"/>
      <c r="J398" s="143"/>
      <c r="K398" s="143"/>
      <c r="L398" s="144"/>
      <c r="M398" s="143"/>
      <c r="N398" s="145"/>
      <c r="O398" s="146"/>
      <c r="P398" s="144"/>
      <c r="Q398" s="147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  <c r="AC398" s="148"/>
      <c r="AD398" s="149"/>
      <c r="AE398" s="150"/>
      <c r="AF398" s="151"/>
      <c r="AG398" s="152"/>
      <c r="AH398" s="149"/>
    </row>
    <row r="399" customFormat="false" ht="12" hidden="false" customHeight="false" outlineLevel="0" collapsed="false">
      <c r="A399" s="134"/>
      <c r="B399" s="135"/>
      <c r="C399" s="143"/>
      <c r="D399" s="143"/>
      <c r="E399" s="143"/>
      <c r="F399" s="143"/>
      <c r="G399" s="143"/>
      <c r="H399" s="143"/>
      <c r="I399" s="143"/>
      <c r="J399" s="143"/>
      <c r="K399" s="143"/>
      <c r="L399" s="144"/>
      <c r="M399" s="143"/>
      <c r="N399" s="145"/>
      <c r="O399" s="146"/>
      <c r="P399" s="144"/>
      <c r="Q399" s="147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  <c r="AC399" s="148"/>
      <c r="AD399" s="149"/>
      <c r="AE399" s="150"/>
      <c r="AF399" s="151"/>
      <c r="AG399" s="152"/>
      <c r="AH399" s="149"/>
    </row>
    <row r="400" customFormat="false" ht="12" hidden="false" customHeight="false" outlineLevel="0" collapsed="false">
      <c r="A400" s="134"/>
      <c r="B400" s="135"/>
      <c r="C400" s="143"/>
      <c r="D400" s="143"/>
      <c r="E400" s="143"/>
      <c r="F400" s="143"/>
      <c r="G400" s="143"/>
      <c r="H400" s="143"/>
      <c r="I400" s="143"/>
      <c r="J400" s="143"/>
      <c r="K400" s="143"/>
      <c r="L400" s="144"/>
      <c r="M400" s="143"/>
      <c r="N400" s="145"/>
      <c r="O400" s="146"/>
      <c r="P400" s="144"/>
      <c r="Q400" s="147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  <c r="AC400" s="148"/>
      <c r="AD400" s="149"/>
      <c r="AE400" s="150"/>
      <c r="AF400" s="151"/>
      <c r="AG400" s="152"/>
      <c r="AH400" s="149"/>
    </row>
    <row r="401" customFormat="false" ht="12" hidden="false" customHeight="false" outlineLevel="0" collapsed="false">
      <c r="A401" s="134"/>
      <c r="B401" s="135"/>
      <c r="C401" s="143"/>
      <c r="D401" s="143"/>
      <c r="E401" s="143"/>
      <c r="F401" s="143"/>
      <c r="G401" s="143"/>
      <c r="H401" s="143"/>
      <c r="I401" s="143"/>
      <c r="J401" s="143"/>
      <c r="K401" s="143"/>
      <c r="L401" s="144"/>
      <c r="M401" s="143"/>
      <c r="N401" s="145"/>
      <c r="O401" s="146"/>
      <c r="P401" s="144"/>
      <c r="Q401" s="147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  <c r="AC401" s="148"/>
      <c r="AD401" s="149"/>
      <c r="AE401" s="150"/>
      <c r="AF401" s="151"/>
      <c r="AG401" s="152"/>
      <c r="AH401" s="149"/>
    </row>
    <row r="402" customFormat="false" ht="12" hidden="false" customHeight="false" outlineLevel="0" collapsed="false">
      <c r="A402" s="134"/>
      <c r="B402" s="135"/>
      <c r="C402" s="143"/>
      <c r="D402" s="143"/>
      <c r="E402" s="143"/>
      <c r="F402" s="143"/>
      <c r="G402" s="143"/>
      <c r="H402" s="143"/>
      <c r="I402" s="143"/>
      <c r="J402" s="143"/>
      <c r="K402" s="143"/>
      <c r="L402" s="144"/>
      <c r="M402" s="143"/>
      <c r="N402" s="145"/>
      <c r="O402" s="146"/>
      <c r="P402" s="144"/>
      <c r="Q402" s="147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  <c r="AC402" s="148"/>
      <c r="AD402" s="149"/>
      <c r="AE402" s="150"/>
      <c r="AF402" s="151"/>
      <c r="AG402" s="152"/>
      <c r="AH402" s="149"/>
    </row>
    <row r="403" customFormat="false" ht="12" hidden="false" customHeight="false" outlineLevel="0" collapsed="false">
      <c r="A403" s="134"/>
      <c r="B403" s="135"/>
      <c r="C403" s="143"/>
      <c r="D403" s="143"/>
      <c r="E403" s="143"/>
      <c r="F403" s="143"/>
      <c r="G403" s="143"/>
      <c r="H403" s="143"/>
      <c r="I403" s="143"/>
      <c r="J403" s="143"/>
      <c r="K403" s="143"/>
      <c r="L403" s="144"/>
      <c r="M403" s="143"/>
      <c r="N403" s="145"/>
      <c r="O403" s="146"/>
      <c r="P403" s="144"/>
      <c r="Q403" s="147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  <c r="AC403" s="148"/>
      <c r="AD403" s="149"/>
      <c r="AE403" s="150"/>
      <c r="AF403" s="151"/>
      <c r="AG403" s="152"/>
      <c r="AH403" s="149"/>
    </row>
    <row r="404" customFormat="false" ht="12" hidden="false" customHeight="false" outlineLevel="0" collapsed="false">
      <c r="A404" s="134"/>
      <c r="B404" s="135"/>
      <c r="C404" s="143"/>
      <c r="D404" s="143"/>
      <c r="E404" s="143"/>
      <c r="F404" s="143"/>
      <c r="G404" s="143"/>
      <c r="H404" s="143"/>
      <c r="I404" s="143"/>
      <c r="J404" s="143"/>
      <c r="K404" s="143"/>
      <c r="L404" s="144"/>
      <c r="M404" s="143"/>
      <c r="N404" s="145"/>
      <c r="O404" s="146"/>
      <c r="P404" s="144"/>
      <c r="Q404" s="147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  <c r="AC404" s="148"/>
      <c r="AD404" s="149"/>
      <c r="AE404" s="150"/>
      <c r="AF404" s="151"/>
      <c r="AG404" s="152"/>
      <c r="AH404" s="149"/>
    </row>
    <row r="405" customFormat="false" ht="12" hidden="false" customHeight="false" outlineLevel="0" collapsed="false">
      <c r="A405" s="134"/>
      <c r="B405" s="135"/>
      <c r="C405" s="143"/>
      <c r="D405" s="143"/>
      <c r="E405" s="143"/>
      <c r="F405" s="143"/>
      <c r="G405" s="143"/>
      <c r="H405" s="143"/>
      <c r="I405" s="143"/>
      <c r="J405" s="143"/>
      <c r="K405" s="143"/>
      <c r="L405" s="144"/>
      <c r="M405" s="143"/>
      <c r="N405" s="145"/>
      <c r="O405" s="146"/>
      <c r="P405" s="144"/>
      <c r="Q405" s="147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  <c r="AC405" s="148"/>
      <c r="AD405" s="149"/>
      <c r="AE405" s="150"/>
      <c r="AF405" s="151"/>
      <c r="AG405" s="152"/>
      <c r="AH405" s="149"/>
    </row>
    <row r="406" customFormat="false" ht="12" hidden="false" customHeight="false" outlineLevel="0" collapsed="false">
      <c r="A406" s="134"/>
      <c r="B406" s="135"/>
      <c r="C406" s="143"/>
      <c r="D406" s="143"/>
      <c r="E406" s="143"/>
      <c r="F406" s="143"/>
      <c r="G406" s="143"/>
      <c r="H406" s="143"/>
      <c r="I406" s="143"/>
      <c r="J406" s="143"/>
      <c r="K406" s="143"/>
      <c r="L406" s="144"/>
      <c r="M406" s="143"/>
      <c r="N406" s="145"/>
      <c r="O406" s="146"/>
      <c r="P406" s="144"/>
      <c r="Q406" s="147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  <c r="AC406" s="148"/>
      <c r="AD406" s="149"/>
      <c r="AE406" s="150"/>
      <c r="AF406" s="151"/>
      <c r="AG406" s="152"/>
      <c r="AH406" s="149"/>
    </row>
    <row r="407" customFormat="false" ht="12" hidden="false" customHeight="false" outlineLevel="0" collapsed="false">
      <c r="A407" s="134"/>
      <c r="B407" s="135"/>
      <c r="C407" s="143"/>
      <c r="D407" s="143"/>
      <c r="E407" s="143"/>
      <c r="F407" s="143"/>
      <c r="G407" s="143"/>
      <c r="H407" s="143"/>
      <c r="I407" s="143"/>
      <c r="J407" s="143"/>
      <c r="K407" s="143"/>
      <c r="L407" s="144"/>
      <c r="M407" s="143"/>
      <c r="N407" s="145"/>
      <c r="O407" s="146"/>
      <c r="P407" s="144"/>
      <c r="Q407" s="147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  <c r="AC407" s="148"/>
      <c r="AD407" s="149"/>
      <c r="AE407" s="150"/>
      <c r="AF407" s="151"/>
      <c r="AG407" s="152"/>
      <c r="AH407" s="149"/>
    </row>
    <row r="408" customFormat="false" ht="12" hidden="false" customHeight="false" outlineLevel="0" collapsed="false">
      <c r="A408" s="134"/>
      <c r="B408" s="135"/>
      <c r="C408" s="143"/>
      <c r="D408" s="143"/>
      <c r="E408" s="143"/>
      <c r="F408" s="143"/>
      <c r="G408" s="143"/>
      <c r="H408" s="143"/>
      <c r="I408" s="143"/>
      <c r="J408" s="143"/>
      <c r="K408" s="143"/>
      <c r="L408" s="144"/>
      <c r="M408" s="143"/>
      <c r="N408" s="145"/>
      <c r="O408" s="146"/>
      <c r="P408" s="144"/>
      <c r="Q408" s="147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  <c r="AC408" s="148"/>
      <c r="AD408" s="149"/>
      <c r="AE408" s="150"/>
      <c r="AF408" s="151"/>
      <c r="AG408" s="152"/>
      <c r="AH408" s="149"/>
    </row>
    <row r="409" customFormat="false" ht="12" hidden="false" customHeight="false" outlineLevel="0" collapsed="false">
      <c r="A409" s="134"/>
      <c r="B409" s="135"/>
      <c r="C409" s="143"/>
      <c r="D409" s="143"/>
      <c r="E409" s="143"/>
      <c r="F409" s="143"/>
      <c r="G409" s="143"/>
      <c r="H409" s="143"/>
      <c r="I409" s="143"/>
      <c r="J409" s="143"/>
      <c r="K409" s="143"/>
      <c r="L409" s="144"/>
      <c r="M409" s="143"/>
      <c r="N409" s="145"/>
      <c r="O409" s="146"/>
      <c r="P409" s="144"/>
      <c r="Q409" s="147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  <c r="AC409" s="148"/>
      <c r="AD409" s="149"/>
      <c r="AE409" s="150"/>
      <c r="AF409" s="151"/>
      <c r="AG409" s="152"/>
      <c r="AH409" s="149"/>
    </row>
    <row r="410" customFormat="false" ht="12" hidden="false" customHeight="false" outlineLevel="0" collapsed="false">
      <c r="A410" s="134"/>
      <c r="B410" s="135"/>
      <c r="C410" s="143"/>
      <c r="D410" s="143"/>
      <c r="E410" s="143"/>
      <c r="F410" s="143"/>
      <c r="G410" s="143"/>
      <c r="H410" s="143"/>
      <c r="I410" s="143"/>
      <c r="J410" s="143"/>
      <c r="K410" s="143"/>
      <c r="L410" s="144"/>
      <c r="M410" s="143"/>
      <c r="N410" s="145"/>
      <c r="O410" s="146"/>
      <c r="P410" s="144"/>
      <c r="Q410" s="147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  <c r="AC410" s="148"/>
      <c r="AD410" s="149"/>
      <c r="AE410" s="150"/>
      <c r="AF410" s="151"/>
      <c r="AG410" s="152"/>
      <c r="AH410" s="149"/>
    </row>
    <row r="411" customFormat="false" ht="12" hidden="false" customHeight="false" outlineLevel="0" collapsed="false">
      <c r="A411" s="134"/>
      <c r="B411" s="135"/>
      <c r="C411" s="143"/>
      <c r="D411" s="143"/>
      <c r="E411" s="143"/>
      <c r="F411" s="143"/>
      <c r="G411" s="143"/>
      <c r="H411" s="143"/>
      <c r="I411" s="143"/>
      <c r="J411" s="143"/>
      <c r="K411" s="143"/>
      <c r="L411" s="144"/>
      <c r="M411" s="143"/>
      <c r="N411" s="145"/>
      <c r="O411" s="146"/>
      <c r="P411" s="144"/>
      <c r="Q411" s="147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  <c r="AC411" s="148"/>
      <c r="AD411" s="149"/>
      <c r="AE411" s="150"/>
      <c r="AF411" s="151"/>
      <c r="AG411" s="152"/>
      <c r="AH411" s="149"/>
    </row>
    <row r="412" customFormat="false" ht="12" hidden="false" customHeight="false" outlineLevel="0" collapsed="false">
      <c r="A412" s="134"/>
      <c r="B412" s="135"/>
      <c r="C412" s="143"/>
      <c r="D412" s="143"/>
      <c r="E412" s="143"/>
      <c r="F412" s="143"/>
      <c r="G412" s="143"/>
      <c r="H412" s="143"/>
      <c r="I412" s="143"/>
      <c r="J412" s="143"/>
      <c r="K412" s="143"/>
      <c r="L412" s="144"/>
      <c r="M412" s="143"/>
      <c r="N412" s="145"/>
      <c r="O412" s="146"/>
      <c r="P412" s="144"/>
      <c r="Q412" s="147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  <c r="AC412" s="148"/>
      <c r="AD412" s="149"/>
      <c r="AE412" s="150"/>
      <c r="AF412" s="151"/>
      <c r="AG412" s="152"/>
      <c r="AH412" s="149"/>
    </row>
    <row r="413" customFormat="false" ht="12" hidden="false" customHeight="false" outlineLevel="0" collapsed="false">
      <c r="A413" s="134"/>
      <c r="B413" s="135"/>
      <c r="C413" s="143"/>
      <c r="D413" s="143"/>
      <c r="E413" s="143"/>
      <c r="F413" s="143"/>
      <c r="G413" s="143"/>
      <c r="H413" s="143"/>
      <c r="I413" s="143"/>
      <c r="J413" s="143"/>
      <c r="K413" s="143"/>
      <c r="L413" s="144"/>
      <c r="M413" s="143"/>
      <c r="N413" s="145"/>
      <c r="O413" s="146"/>
      <c r="P413" s="144"/>
      <c r="Q413" s="147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  <c r="AC413" s="148"/>
      <c r="AD413" s="149"/>
      <c r="AE413" s="150"/>
      <c r="AF413" s="151"/>
      <c r="AG413" s="152"/>
      <c r="AH413" s="149"/>
    </row>
    <row r="414" customFormat="false" ht="12" hidden="false" customHeight="false" outlineLevel="0" collapsed="false">
      <c r="A414" s="134"/>
      <c r="B414" s="135"/>
      <c r="C414" s="143"/>
      <c r="D414" s="143"/>
      <c r="E414" s="143"/>
      <c r="F414" s="143"/>
      <c r="G414" s="143"/>
      <c r="H414" s="143"/>
      <c r="I414" s="143"/>
      <c r="J414" s="143"/>
      <c r="K414" s="143"/>
      <c r="L414" s="144"/>
      <c r="M414" s="143"/>
      <c r="N414" s="145"/>
      <c r="O414" s="146"/>
      <c r="P414" s="144"/>
      <c r="Q414" s="147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  <c r="AC414" s="148"/>
      <c r="AD414" s="149"/>
      <c r="AE414" s="150"/>
      <c r="AF414" s="151"/>
      <c r="AG414" s="152"/>
      <c r="AH414" s="149"/>
    </row>
    <row r="415" customFormat="false" ht="12" hidden="false" customHeight="false" outlineLevel="0" collapsed="false">
      <c r="A415" s="134"/>
      <c r="B415" s="135"/>
      <c r="C415" s="143"/>
      <c r="D415" s="143"/>
      <c r="E415" s="143"/>
      <c r="F415" s="143"/>
      <c r="G415" s="143"/>
      <c r="H415" s="143"/>
      <c r="I415" s="143"/>
      <c r="J415" s="143"/>
      <c r="K415" s="143"/>
      <c r="L415" s="144"/>
      <c r="M415" s="143"/>
      <c r="N415" s="145"/>
      <c r="O415" s="146"/>
      <c r="P415" s="144"/>
      <c r="Q415" s="147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  <c r="AC415" s="148"/>
      <c r="AD415" s="149"/>
      <c r="AE415" s="150"/>
      <c r="AF415" s="151"/>
      <c r="AG415" s="152"/>
      <c r="AH415" s="149"/>
    </row>
    <row r="416" customFormat="false" ht="12" hidden="false" customHeight="false" outlineLevel="0" collapsed="false">
      <c r="A416" s="134"/>
      <c r="B416" s="135"/>
      <c r="C416" s="143"/>
      <c r="D416" s="143"/>
      <c r="E416" s="143"/>
      <c r="F416" s="143"/>
      <c r="G416" s="143"/>
      <c r="H416" s="143"/>
      <c r="I416" s="143"/>
      <c r="J416" s="143"/>
      <c r="K416" s="143"/>
      <c r="L416" s="144"/>
      <c r="M416" s="143"/>
      <c r="N416" s="145"/>
      <c r="O416" s="146"/>
      <c r="P416" s="144"/>
      <c r="Q416" s="147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  <c r="AC416" s="148"/>
      <c r="AD416" s="149"/>
      <c r="AE416" s="150"/>
      <c r="AF416" s="151"/>
      <c r="AG416" s="152"/>
      <c r="AH416" s="149"/>
    </row>
    <row r="417" customFormat="false" ht="12" hidden="false" customHeight="false" outlineLevel="0" collapsed="false">
      <c r="A417" s="134"/>
      <c r="B417" s="135"/>
      <c r="C417" s="143"/>
      <c r="D417" s="143"/>
      <c r="E417" s="143"/>
      <c r="F417" s="143"/>
      <c r="G417" s="143"/>
      <c r="H417" s="143"/>
      <c r="I417" s="143"/>
      <c r="J417" s="143"/>
      <c r="K417" s="143"/>
      <c r="L417" s="144"/>
      <c r="M417" s="143"/>
      <c r="N417" s="145"/>
      <c r="O417" s="146"/>
      <c r="P417" s="144"/>
      <c r="Q417" s="147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  <c r="AC417" s="148"/>
      <c r="AD417" s="149"/>
      <c r="AE417" s="150"/>
      <c r="AF417" s="151"/>
      <c r="AG417" s="152"/>
      <c r="AH417" s="149"/>
    </row>
    <row r="418" customFormat="false" ht="12" hidden="false" customHeight="false" outlineLevel="0" collapsed="false">
      <c r="A418" s="134"/>
      <c r="B418" s="135"/>
      <c r="C418" s="143"/>
      <c r="D418" s="143"/>
      <c r="E418" s="143"/>
      <c r="F418" s="143"/>
      <c r="G418" s="143"/>
      <c r="H418" s="143"/>
      <c r="I418" s="143"/>
      <c r="J418" s="143"/>
      <c r="K418" s="143"/>
      <c r="L418" s="144"/>
      <c r="M418" s="143"/>
      <c r="N418" s="145"/>
      <c r="O418" s="146"/>
      <c r="P418" s="144"/>
      <c r="Q418" s="147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  <c r="AC418" s="148"/>
      <c r="AD418" s="149"/>
      <c r="AE418" s="150"/>
      <c r="AF418" s="151"/>
      <c r="AG418" s="152"/>
      <c r="AH418" s="149"/>
    </row>
    <row r="419" customFormat="false" ht="12" hidden="false" customHeight="false" outlineLevel="0" collapsed="false">
      <c r="A419" s="134"/>
      <c r="B419" s="135"/>
      <c r="C419" s="143"/>
      <c r="D419" s="143"/>
      <c r="E419" s="143"/>
      <c r="F419" s="143"/>
      <c r="G419" s="143"/>
      <c r="H419" s="143"/>
      <c r="I419" s="143"/>
      <c r="J419" s="143"/>
      <c r="K419" s="143"/>
      <c r="L419" s="144"/>
      <c r="M419" s="143"/>
      <c r="N419" s="145"/>
      <c r="O419" s="146"/>
      <c r="P419" s="144"/>
      <c r="Q419" s="147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  <c r="AC419" s="148"/>
      <c r="AD419" s="149"/>
      <c r="AE419" s="150"/>
      <c r="AF419" s="151"/>
      <c r="AG419" s="152"/>
      <c r="AH419" s="149"/>
    </row>
    <row r="420" customFormat="false" ht="12" hidden="false" customHeight="false" outlineLevel="0" collapsed="false">
      <c r="A420" s="134"/>
      <c r="B420" s="135"/>
      <c r="C420" s="143"/>
      <c r="D420" s="143"/>
      <c r="E420" s="143"/>
      <c r="F420" s="143"/>
      <c r="G420" s="143"/>
      <c r="H420" s="143"/>
      <c r="I420" s="143"/>
      <c r="J420" s="143"/>
      <c r="K420" s="143"/>
      <c r="L420" s="144"/>
      <c r="M420" s="143"/>
      <c r="N420" s="145"/>
      <c r="O420" s="146"/>
      <c r="P420" s="144"/>
      <c r="Q420" s="147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  <c r="AC420" s="148"/>
      <c r="AD420" s="149"/>
      <c r="AE420" s="150"/>
      <c r="AF420" s="151"/>
      <c r="AG420" s="152"/>
      <c r="AH420" s="149"/>
    </row>
    <row r="421" customFormat="false" ht="12" hidden="false" customHeight="false" outlineLevel="0" collapsed="false">
      <c r="A421" s="134"/>
      <c r="B421" s="135"/>
      <c r="C421" s="143"/>
      <c r="D421" s="143"/>
      <c r="E421" s="143"/>
      <c r="F421" s="143"/>
      <c r="G421" s="143"/>
      <c r="H421" s="143"/>
      <c r="I421" s="143"/>
      <c r="J421" s="143"/>
      <c r="K421" s="143"/>
      <c r="L421" s="144"/>
      <c r="M421" s="143"/>
      <c r="N421" s="145"/>
      <c r="O421" s="146"/>
      <c r="P421" s="144"/>
      <c r="Q421" s="147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  <c r="AC421" s="148"/>
      <c r="AD421" s="149"/>
      <c r="AE421" s="150"/>
      <c r="AF421" s="151"/>
      <c r="AG421" s="152"/>
      <c r="AH421" s="149"/>
    </row>
    <row r="422" customFormat="false" ht="12" hidden="false" customHeight="false" outlineLevel="0" collapsed="false">
      <c r="A422" s="134"/>
      <c r="B422" s="135"/>
      <c r="C422" s="143"/>
      <c r="D422" s="143"/>
      <c r="E422" s="143"/>
      <c r="F422" s="143"/>
      <c r="G422" s="143"/>
      <c r="H422" s="143"/>
      <c r="I422" s="143"/>
      <c r="J422" s="143"/>
      <c r="K422" s="143"/>
      <c r="L422" s="144"/>
      <c r="M422" s="143"/>
      <c r="N422" s="145"/>
      <c r="O422" s="146"/>
      <c r="P422" s="144"/>
      <c r="Q422" s="147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  <c r="AC422" s="148"/>
      <c r="AD422" s="149"/>
      <c r="AE422" s="150"/>
      <c r="AF422" s="151"/>
      <c r="AG422" s="152"/>
      <c r="AH422" s="149"/>
    </row>
    <row r="423" customFormat="false" ht="12" hidden="false" customHeight="false" outlineLevel="0" collapsed="false">
      <c r="A423" s="134"/>
      <c r="B423" s="135"/>
      <c r="C423" s="143"/>
      <c r="D423" s="143"/>
      <c r="E423" s="143"/>
      <c r="F423" s="143"/>
      <c r="G423" s="143"/>
      <c r="H423" s="143"/>
      <c r="I423" s="143"/>
      <c r="J423" s="143"/>
      <c r="K423" s="143"/>
      <c r="L423" s="144"/>
      <c r="M423" s="143"/>
      <c r="N423" s="145"/>
      <c r="O423" s="146"/>
      <c r="P423" s="144"/>
      <c r="Q423" s="147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  <c r="AC423" s="148"/>
      <c r="AD423" s="149"/>
      <c r="AE423" s="150"/>
      <c r="AF423" s="151"/>
      <c r="AG423" s="152"/>
      <c r="AH423" s="149"/>
    </row>
    <row r="424" customFormat="false" ht="12" hidden="false" customHeight="false" outlineLevel="0" collapsed="false">
      <c r="A424" s="134"/>
      <c r="B424" s="135"/>
      <c r="C424" s="143"/>
      <c r="D424" s="143"/>
      <c r="E424" s="143"/>
      <c r="F424" s="143"/>
      <c r="G424" s="143"/>
      <c r="H424" s="143"/>
      <c r="I424" s="143"/>
      <c r="J424" s="143"/>
      <c r="K424" s="143"/>
      <c r="L424" s="144"/>
      <c r="M424" s="143"/>
      <c r="N424" s="145"/>
      <c r="O424" s="146"/>
      <c r="P424" s="144"/>
      <c r="Q424" s="147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  <c r="AC424" s="148"/>
      <c r="AD424" s="149"/>
      <c r="AE424" s="150"/>
      <c r="AF424" s="151"/>
      <c r="AG424" s="152"/>
      <c r="AH424" s="149"/>
    </row>
    <row r="425" customFormat="false" ht="12" hidden="false" customHeight="false" outlineLevel="0" collapsed="false">
      <c r="A425" s="134"/>
      <c r="B425" s="135"/>
      <c r="C425" s="143"/>
      <c r="D425" s="143"/>
      <c r="E425" s="143"/>
      <c r="F425" s="143"/>
      <c r="G425" s="143"/>
      <c r="H425" s="143"/>
      <c r="I425" s="143"/>
      <c r="J425" s="143"/>
      <c r="K425" s="143"/>
      <c r="L425" s="144"/>
      <c r="M425" s="143"/>
      <c r="N425" s="145"/>
      <c r="O425" s="146"/>
      <c r="P425" s="144"/>
      <c r="Q425" s="147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  <c r="AC425" s="148"/>
      <c r="AD425" s="149"/>
      <c r="AE425" s="150"/>
      <c r="AF425" s="151"/>
      <c r="AG425" s="152"/>
      <c r="AH425" s="149"/>
    </row>
    <row r="426" customFormat="false" ht="12" hidden="false" customHeight="false" outlineLevel="0" collapsed="false">
      <c r="A426" s="134"/>
      <c r="B426" s="135"/>
      <c r="C426" s="143"/>
      <c r="D426" s="143"/>
      <c r="E426" s="143"/>
      <c r="F426" s="143"/>
      <c r="G426" s="143"/>
      <c r="H426" s="143"/>
      <c r="I426" s="143"/>
      <c r="J426" s="143"/>
      <c r="K426" s="143"/>
      <c r="L426" s="144"/>
      <c r="M426" s="143"/>
      <c r="N426" s="145"/>
      <c r="O426" s="146"/>
      <c r="P426" s="144"/>
      <c r="Q426" s="147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  <c r="AC426" s="148"/>
      <c r="AD426" s="149"/>
      <c r="AE426" s="150"/>
      <c r="AF426" s="151"/>
      <c r="AG426" s="152"/>
      <c r="AH426" s="149"/>
    </row>
    <row r="427" customFormat="false" ht="12" hidden="false" customHeight="false" outlineLevel="0" collapsed="false">
      <c r="A427" s="134"/>
      <c r="B427" s="135"/>
      <c r="C427" s="143"/>
      <c r="D427" s="143"/>
      <c r="E427" s="143"/>
      <c r="F427" s="143"/>
      <c r="G427" s="143"/>
      <c r="H427" s="143"/>
      <c r="I427" s="143"/>
      <c r="J427" s="143"/>
      <c r="K427" s="143"/>
      <c r="L427" s="144"/>
      <c r="M427" s="143"/>
      <c r="N427" s="145"/>
      <c r="O427" s="146"/>
      <c r="P427" s="144"/>
      <c r="Q427" s="147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  <c r="AC427" s="148"/>
      <c r="AD427" s="149"/>
      <c r="AE427" s="150"/>
      <c r="AF427" s="151"/>
      <c r="AG427" s="152"/>
      <c r="AH427" s="149"/>
    </row>
    <row r="428" customFormat="false" ht="12" hidden="false" customHeight="false" outlineLevel="0" collapsed="false">
      <c r="A428" s="134"/>
      <c r="B428" s="135"/>
      <c r="C428" s="143"/>
      <c r="D428" s="143"/>
      <c r="E428" s="143"/>
      <c r="F428" s="143"/>
      <c r="G428" s="143"/>
      <c r="H428" s="143"/>
      <c r="I428" s="143"/>
      <c r="J428" s="143"/>
      <c r="K428" s="143"/>
      <c r="L428" s="144"/>
      <c r="M428" s="143"/>
      <c r="N428" s="145"/>
      <c r="O428" s="146"/>
      <c r="P428" s="144"/>
      <c r="Q428" s="147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  <c r="AC428" s="148"/>
      <c r="AD428" s="149"/>
      <c r="AE428" s="150"/>
      <c r="AF428" s="151"/>
      <c r="AG428" s="152"/>
      <c r="AH428" s="149"/>
    </row>
    <row r="429" customFormat="false" ht="12" hidden="false" customHeight="false" outlineLevel="0" collapsed="false">
      <c r="A429" s="134"/>
      <c r="B429" s="135"/>
      <c r="C429" s="143"/>
      <c r="D429" s="143"/>
      <c r="E429" s="143"/>
      <c r="F429" s="143"/>
      <c r="G429" s="143"/>
      <c r="H429" s="143"/>
      <c r="I429" s="143"/>
      <c r="J429" s="143"/>
      <c r="K429" s="143"/>
      <c r="L429" s="144"/>
      <c r="M429" s="143"/>
      <c r="N429" s="145"/>
      <c r="O429" s="146"/>
      <c r="P429" s="144"/>
      <c r="Q429" s="147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9"/>
      <c r="AE429" s="150"/>
      <c r="AF429" s="151"/>
      <c r="AG429" s="152"/>
      <c r="AH429" s="149"/>
    </row>
    <row r="430" customFormat="false" ht="12" hidden="false" customHeight="false" outlineLevel="0" collapsed="false">
      <c r="A430" s="134"/>
      <c r="B430" s="135"/>
      <c r="C430" s="143"/>
      <c r="D430" s="143"/>
      <c r="E430" s="143"/>
      <c r="F430" s="143"/>
      <c r="G430" s="143"/>
      <c r="H430" s="143"/>
      <c r="I430" s="143"/>
      <c r="J430" s="143"/>
      <c r="K430" s="143"/>
      <c r="L430" s="144"/>
      <c r="M430" s="143"/>
      <c r="N430" s="145"/>
      <c r="O430" s="146"/>
      <c r="P430" s="144"/>
      <c r="Q430" s="147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  <c r="AC430" s="148"/>
      <c r="AD430" s="149"/>
      <c r="AE430" s="150"/>
      <c r="AF430" s="151"/>
      <c r="AG430" s="152"/>
      <c r="AH430" s="149"/>
    </row>
    <row r="431" customFormat="false" ht="12" hidden="false" customHeight="false" outlineLevel="0" collapsed="false">
      <c r="A431" s="134"/>
      <c r="B431" s="135"/>
      <c r="C431" s="143"/>
      <c r="D431" s="143"/>
      <c r="E431" s="143"/>
      <c r="F431" s="143"/>
      <c r="G431" s="143"/>
      <c r="H431" s="143"/>
      <c r="I431" s="143"/>
      <c r="J431" s="143"/>
      <c r="K431" s="143"/>
      <c r="L431" s="144"/>
      <c r="M431" s="143"/>
      <c r="N431" s="145"/>
      <c r="O431" s="146"/>
      <c r="P431" s="144"/>
      <c r="Q431" s="147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  <c r="AC431" s="148"/>
      <c r="AD431" s="149"/>
      <c r="AE431" s="150"/>
      <c r="AF431" s="151"/>
      <c r="AG431" s="152"/>
      <c r="AH431" s="149"/>
    </row>
    <row r="432" customFormat="false" ht="12" hidden="false" customHeight="false" outlineLevel="0" collapsed="false">
      <c r="A432" s="134"/>
      <c r="B432" s="135"/>
      <c r="C432" s="143"/>
      <c r="D432" s="143"/>
      <c r="E432" s="143"/>
      <c r="F432" s="143"/>
      <c r="G432" s="143"/>
      <c r="H432" s="143"/>
      <c r="I432" s="143"/>
      <c r="J432" s="143"/>
      <c r="K432" s="143"/>
      <c r="L432" s="144"/>
      <c r="M432" s="143"/>
      <c r="N432" s="145"/>
      <c r="O432" s="146"/>
      <c r="P432" s="144"/>
      <c r="Q432" s="147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  <c r="AC432" s="148"/>
      <c r="AD432" s="149"/>
      <c r="AE432" s="150"/>
      <c r="AF432" s="151"/>
      <c r="AG432" s="152"/>
      <c r="AH432" s="149"/>
    </row>
    <row r="433" customFormat="false" ht="12" hidden="false" customHeight="false" outlineLevel="0" collapsed="false">
      <c r="A433" s="134"/>
      <c r="B433" s="135"/>
      <c r="C433" s="143"/>
      <c r="D433" s="143"/>
      <c r="E433" s="143"/>
      <c r="F433" s="143"/>
      <c r="G433" s="143"/>
      <c r="H433" s="143"/>
      <c r="I433" s="143"/>
      <c r="J433" s="143"/>
      <c r="K433" s="143"/>
      <c r="L433" s="144"/>
      <c r="M433" s="143"/>
      <c r="N433" s="145"/>
      <c r="O433" s="146"/>
      <c r="P433" s="144"/>
      <c r="Q433" s="147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  <c r="AC433" s="148"/>
      <c r="AD433" s="149"/>
      <c r="AE433" s="150"/>
      <c r="AF433" s="151"/>
      <c r="AG433" s="152"/>
      <c r="AH433" s="149"/>
    </row>
    <row r="434" customFormat="false" ht="12" hidden="false" customHeight="false" outlineLevel="0" collapsed="false">
      <c r="A434" s="134"/>
      <c r="B434" s="135"/>
      <c r="C434" s="143"/>
      <c r="D434" s="143"/>
      <c r="E434" s="143"/>
      <c r="F434" s="143"/>
      <c r="G434" s="143"/>
      <c r="H434" s="143"/>
      <c r="I434" s="143"/>
      <c r="J434" s="143"/>
      <c r="K434" s="143"/>
      <c r="L434" s="144"/>
      <c r="M434" s="143"/>
      <c r="N434" s="145"/>
      <c r="O434" s="146"/>
      <c r="P434" s="144"/>
      <c r="Q434" s="147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  <c r="AC434" s="148"/>
      <c r="AD434" s="149"/>
      <c r="AE434" s="150"/>
      <c r="AF434" s="151"/>
      <c r="AG434" s="152"/>
      <c r="AH434" s="149"/>
    </row>
    <row r="435" customFormat="false" ht="12" hidden="false" customHeight="false" outlineLevel="0" collapsed="false">
      <c r="A435" s="134"/>
      <c r="B435" s="135"/>
      <c r="C435" s="143"/>
      <c r="D435" s="143"/>
      <c r="E435" s="143"/>
      <c r="F435" s="143"/>
      <c r="G435" s="143"/>
      <c r="H435" s="143"/>
      <c r="I435" s="143"/>
      <c r="J435" s="143"/>
      <c r="K435" s="143"/>
      <c r="L435" s="144"/>
      <c r="M435" s="143"/>
      <c r="N435" s="145"/>
      <c r="O435" s="146"/>
      <c r="P435" s="144"/>
      <c r="Q435" s="147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  <c r="AC435" s="148"/>
      <c r="AD435" s="149"/>
      <c r="AE435" s="150"/>
      <c r="AF435" s="151"/>
      <c r="AG435" s="152"/>
      <c r="AH435" s="149"/>
    </row>
    <row r="436" customFormat="false" ht="12" hidden="false" customHeight="false" outlineLevel="0" collapsed="false">
      <c r="A436" s="134"/>
      <c r="B436" s="135"/>
      <c r="C436" s="143"/>
      <c r="D436" s="143"/>
      <c r="E436" s="143"/>
      <c r="F436" s="143"/>
      <c r="G436" s="143"/>
      <c r="H436" s="143"/>
      <c r="I436" s="143"/>
      <c r="J436" s="143"/>
      <c r="K436" s="143"/>
      <c r="L436" s="144"/>
      <c r="M436" s="143"/>
      <c r="N436" s="145"/>
      <c r="O436" s="146"/>
      <c r="P436" s="144"/>
      <c r="Q436" s="147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  <c r="AC436" s="148"/>
      <c r="AD436" s="149"/>
      <c r="AE436" s="150"/>
      <c r="AF436" s="151"/>
      <c r="AG436" s="152"/>
      <c r="AH436" s="149"/>
    </row>
    <row r="437" customFormat="false" ht="12" hidden="false" customHeight="false" outlineLevel="0" collapsed="false">
      <c r="A437" s="134"/>
      <c r="B437" s="135"/>
      <c r="C437" s="143"/>
      <c r="D437" s="143"/>
      <c r="E437" s="143"/>
      <c r="F437" s="143"/>
      <c r="G437" s="143"/>
      <c r="H437" s="143"/>
      <c r="I437" s="143"/>
      <c r="J437" s="143"/>
      <c r="K437" s="143"/>
      <c r="L437" s="144"/>
      <c r="M437" s="143"/>
      <c r="N437" s="145"/>
      <c r="O437" s="146"/>
      <c r="P437" s="144"/>
      <c r="Q437" s="147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  <c r="AC437" s="148"/>
      <c r="AD437" s="149"/>
      <c r="AE437" s="150"/>
      <c r="AF437" s="151"/>
      <c r="AG437" s="152"/>
      <c r="AH437" s="149"/>
    </row>
    <row r="438" customFormat="false" ht="12" hidden="false" customHeight="false" outlineLevel="0" collapsed="false">
      <c r="A438" s="134"/>
      <c r="B438" s="135"/>
      <c r="C438" s="143"/>
      <c r="D438" s="143"/>
      <c r="E438" s="143"/>
      <c r="F438" s="143"/>
      <c r="G438" s="143"/>
      <c r="H438" s="143"/>
      <c r="I438" s="143"/>
      <c r="J438" s="143"/>
      <c r="K438" s="143"/>
      <c r="L438" s="144"/>
      <c r="M438" s="143"/>
      <c r="N438" s="145"/>
      <c r="O438" s="146"/>
      <c r="P438" s="144"/>
      <c r="Q438" s="147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  <c r="AC438" s="148"/>
      <c r="AD438" s="149"/>
      <c r="AE438" s="150"/>
      <c r="AF438" s="151"/>
      <c r="AG438" s="152"/>
      <c r="AH438" s="149"/>
    </row>
    <row r="439" customFormat="false" ht="12" hidden="false" customHeight="false" outlineLevel="0" collapsed="false">
      <c r="A439" s="134"/>
      <c r="B439" s="135"/>
      <c r="C439" s="143"/>
      <c r="D439" s="143"/>
      <c r="E439" s="143"/>
      <c r="F439" s="143"/>
      <c r="G439" s="143"/>
      <c r="H439" s="143"/>
      <c r="I439" s="143"/>
      <c r="J439" s="143"/>
      <c r="K439" s="143"/>
      <c r="L439" s="144"/>
      <c r="M439" s="143"/>
      <c r="N439" s="145"/>
      <c r="O439" s="146"/>
      <c r="P439" s="144"/>
      <c r="Q439" s="147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  <c r="AC439" s="148"/>
      <c r="AD439" s="149"/>
      <c r="AE439" s="150"/>
      <c r="AF439" s="151"/>
      <c r="AG439" s="152"/>
      <c r="AH439" s="149"/>
    </row>
    <row r="440" customFormat="false" ht="12" hidden="false" customHeight="false" outlineLevel="0" collapsed="false">
      <c r="A440" s="134"/>
      <c r="B440" s="135"/>
      <c r="C440" s="143"/>
      <c r="D440" s="143"/>
      <c r="E440" s="143"/>
      <c r="F440" s="143"/>
      <c r="G440" s="143"/>
      <c r="H440" s="143"/>
      <c r="I440" s="143"/>
      <c r="J440" s="143"/>
      <c r="K440" s="143"/>
      <c r="L440" s="144"/>
      <c r="M440" s="143"/>
      <c r="N440" s="145"/>
      <c r="O440" s="146"/>
      <c r="P440" s="144"/>
      <c r="Q440" s="147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  <c r="AC440" s="148"/>
      <c r="AD440" s="149"/>
      <c r="AE440" s="150"/>
      <c r="AF440" s="151"/>
      <c r="AG440" s="152"/>
      <c r="AH440" s="149"/>
    </row>
    <row r="441" customFormat="false" ht="12" hidden="false" customHeight="false" outlineLevel="0" collapsed="false">
      <c r="A441" s="134"/>
      <c r="B441" s="135"/>
      <c r="C441" s="143"/>
      <c r="D441" s="143"/>
      <c r="E441" s="143"/>
      <c r="F441" s="143"/>
      <c r="G441" s="143"/>
      <c r="H441" s="143"/>
      <c r="I441" s="143"/>
      <c r="J441" s="143"/>
      <c r="K441" s="143"/>
      <c r="L441" s="144"/>
      <c r="M441" s="143"/>
      <c r="N441" s="145"/>
      <c r="O441" s="146"/>
      <c r="P441" s="144"/>
      <c r="Q441" s="147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  <c r="AC441" s="148"/>
      <c r="AD441" s="149"/>
      <c r="AE441" s="150"/>
      <c r="AF441" s="151"/>
      <c r="AG441" s="152"/>
      <c r="AH441" s="149"/>
    </row>
    <row r="442" customFormat="false" ht="12" hidden="false" customHeight="false" outlineLevel="0" collapsed="false">
      <c r="A442" s="134"/>
      <c r="B442" s="135"/>
      <c r="C442" s="143"/>
      <c r="D442" s="143"/>
      <c r="E442" s="143"/>
      <c r="F442" s="143"/>
      <c r="G442" s="143"/>
      <c r="H442" s="143"/>
      <c r="I442" s="143"/>
      <c r="J442" s="143"/>
      <c r="K442" s="143"/>
      <c r="L442" s="144"/>
      <c r="M442" s="143"/>
      <c r="N442" s="145"/>
      <c r="O442" s="146"/>
      <c r="P442" s="144"/>
      <c r="Q442" s="147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  <c r="AC442" s="148"/>
      <c r="AD442" s="149"/>
      <c r="AE442" s="150"/>
      <c r="AF442" s="151"/>
      <c r="AG442" s="152"/>
      <c r="AH442" s="149"/>
    </row>
    <row r="443" customFormat="false" ht="12" hidden="false" customHeight="false" outlineLevel="0" collapsed="false">
      <c r="A443" s="134"/>
      <c r="B443" s="135"/>
      <c r="C443" s="143"/>
      <c r="D443" s="143"/>
      <c r="E443" s="143"/>
      <c r="F443" s="143"/>
      <c r="G443" s="143"/>
      <c r="H443" s="143"/>
      <c r="I443" s="143"/>
      <c r="J443" s="143"/>
      <c r="K443" s="143"/>
      <c r="L443" s="144"/>
      <c r="M443" s="143"/>
      <c r="N443" s="145"/>
      <c r="O443" s="146"/>
      <c r="P443" s="144"/>
      <c r="Q443" s="147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  <c r="AC443" s="148"/>
      <c r="AD443" s="149"/>
      <c r="AE443" s="150"/>
      <c r="AF443" s="151"/>
      <c r="AG443" s="152"/>
      <c r="AH443" s="149"/>
    </row>
    <row r="444" customFormat="false" ht="12" hidden="false" customHeight="false" outlineLevel="0" collapsed="false">
      <c r="A444" s="134"/>
      <c r="B444" s="135"/>
      <c r="C444" s="143"/>
      <c r="D444" s="143"/>
      <c r="E444" s="143"/>
      <c r="F444" s="143"/>
      <c r="G444" s="143"/>
      <c r="H444" s="143"/>
      <c r="I444" s="143"/>
      <c r="J444" s="143"/>
      <c r="K444" s="143"/>
      <c r="L444" s="144"/>
      <c r="M444" s="143"/>
      <c r="N444" s="145"/>
      <c r="O444" s="146"/>
      <c r="P444" s="144"/>
      <c r="Q444" s="147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  <c r="AC444" s="148"/>
      <c r="AD444" s="149"/>
      <c r="AE444" s="150"/>
      <c r="AF444" s="151"/>
      <c r="AG444" s="152"/>
      <c r="AH444" s="149"/>
    </row>
    <row r="445" customFormat="false" ht="12" hidden="false" customHeight="false" outlineLevel="0" collapsed="false">
      <c r="A445" s="134"/>
      <c r="B445" s="135"/>
      <c r="C445" s="143"/>
      <c r="D445" s="143"/>
      <c r="E445" s="143"/>
      <c r="F445" s="143"/>
      <c r="G445" s="143"/>
      <c r="H445" s="143"/>
      <c r="I445" s="143"/>
      <c r="J445" s="143"/>
      <c r="K445" s="143"/>
      <c r="L445" s="144"/>
      <c r="M445" s="143"/>
      <c r="N445" s="145"/>
      <c r="O445" s="146"/>
      <c r="P445" s="144"/>
      <c r="Q445" s="147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  <c r="AC445" s="148"/>
      <c r="AD445" s="149"/>
      <c r="AE445" s="150"/>
      <c r="AF445" s="151"/>
      <c r="AG445" s="152"/>
      <c r="AH445" s="149"/>
    </row>
    <row r="446" customFormat="false" ht="12" hidden="false" customHeight="false" outlineLevel="0" collapsed="false">
      <c r="A446" s="134"/>
      <c r="B446" s="135"/>
      <c r="C446" s="143"/>
      <c r="D446" s="143"/>
      <c r="E446" s="143"/>
      <c r="F446" s="143"/>
      <c r="G446" s="143"/>
      <c r="H446" s="143"/>
      <c r="I446" s="143"/>
      <c r="J446" s="143"/>
      <c r="K446" s="143"/>
      <c r="L446" s="144"/>
      <c r="M446" s="143"/>
      <c r="N446" s="145"/>
      <c r="O446" s="146"/>
      <c r="P446" s="144"/>
      <c r="Q446" s="147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  <c r="AC446" s="148"/>
      <c r="AD446" s="149"/>
      <c r="AE446" s="150"/>
      <c r="AF446" s="151"/>
      <c r="AG446" s="152"/>
      <c r="AH446" s="149"/>
    </row>
    <row r="447" customFormat="false" ht="12" hidden="false" customHeight="false" outlineLevel="0" collapsed="false">
      <c r="A447" s="134"/>
      <c r="B447" s="135"/>
      <c r="C447" s="143"/>
      <c r="D447" s="143"/>
      <c r="E447" s="143"/>
      <c r="F447" s="143"/>
      <c r="G447" s="143"/>
      <c r="H447" s="143"/>
      <c r="I447" s="143"/>
      <c r="J447" s="143"/>
      <c r="K447" s="143"/>
      <c r="L447" s="144"/>
      <c r="M447" s="143"/>
      <c r="N447" s="145"/>
      <c r="O447" s="146"/>
      <c r="P447" s="144"/>
      <c r="Q447" s="147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  <c r="AC447" s="148"/>
      <c r="AD447" s="149"/>
      <c r="AE447" s="150"/>
      <c r="AF447" s="151"/>
      <c r="AG447" s="152"/>
      <c r="AH447" s="149"/>
    </row>
    <row r="448" customFormat="false" ht="12" hidden="false" customHeight="false" outlineLevel="0" collapsed="false">
      <c r="A448" s="134"/>
      <c r="B448" s="135"/>
      <c r="C448" s="143"/>
      <c r="D448" s="143"/>
      <c r="E448" s="143"/>
      <c r="F448" s="143"/>
      <c r="G448" s="143"/>
      <c r="H448" s="143"/>
      <c r="I448" s="143"/>
      <c r="J448" s="143"/>
      <c r="K448" s="143"/>
      <c r="L448" s="144"/>
      <c r="M448" s="143"/>
      <c r="N448" s="145"/>
      <c r="O448" s="146"/>
      <c r="P448" s="144"/>
      <c r="Q448" s="147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  <c r="AC448" s="148"/>
      <c r="AD448" s="149"/>
      <c r="AE448" s="150"/>
      <c r="AF448" s="151"/>
      <c r="AG448" s="152"/>
      <c r="AH448" s="149"/>
    </row>
    <row r="449" customFormat="false" ht="12" hidden="false" customHeight="false" outlineLevel="0" collapsed="false">
      <c r="A449" s="134"/>
      <c r="B449" s="135"/>
      <c r="C449" s="143"/>
      <c r="D449" s="143"/>
      <c r="E449" s="143"/>
      <c r="F449" s="143"/>
      <c r="G449" s="143"/>
      <c r="H449" s="143"/>
      <c r="I449" s="143"/>
      <c r="J449" s="143"/>
      <c r="K449" s="143"/>
      <c r="L449" s="144"/>
      <c r="M449" s="143"/>
      <c r="N449" s="145"/>
      <c r="O449" s="146"/>
      <c r="P449" s="144"/>
      <c r="Q449" s="147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  <c r="AC449" s="148"/>
      <c r="AD449" s="149"/>
      <c r="AE449" s="150"/>
      <c r="AF449" s="151"/>
      <c r="AG449" s="152"/>
      <c r="AH449" s="149"/>
    </row>
    <row r="450" customFormat="false" ht="12" hidden="false" customHeight="false" outlineLevel="0" collapsed="false">
      <c r="A450" s="134"/>
      <c r="B450" s="135"/>
      <c r="C450" s="143"/>
      <c r="D450" s="143"/>
      <c r="E450" s="143"/>
      <c r="F450" s="143"/>
      <c r="G450" s="143"/>
      <c r="H450" s="143"/>
      <c r="I450" s="143"/>
      <c r="J450" s="143"/>
      <c r="K450" s="143"/>
      <c r="L450" s="144"/>
      <c r="M450" s="143"/>
      <c r="N450" s="145"/>
      <c r="O450" s="146"/>
      <c r="P450" s="144"/>
      <c r="Q450" s="147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  <c r="AC450" s="148"/>
      <c r="AD450" s="149"/>
      <c r="AE450" s="150"/>
      <c r="AF450" s="151"/>
      <c r="AG450" s="152"/>
      <c r="AH450" s="149"/>
    </row>
    <row r="451" customFormat="false" ht="12" hidden="false" customHeight="false" outlineLevel="0" collapsed="false">
      <c r="A451" s="134"/>
      <c r="B451" s="135"/>
      <c r="C451" s="143"/>
      <c r="D451" s="143"/>
      <c r="E451" s="143"/>
      <c r="F451" s="143"/>
      <c r="G451" s="143"/>
      <c r="H451" s="143"/>
      <c r="I451" s="143"/>
      <c r="J451" s="143"/>
      <c r="K451" s="143"/>
      <c r="L451" s="144"/>
      <c r="M451" s="143"/>
      <c r="N451" s="145"/>
      <c r="O451" s="146"/>
      <c r="P451" s="144"/>
      <c r="Q451" s="147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9"/>
      <c r="AE451" s="150"/>
      <c r="AF451" s="151"/>
      <c r="AG451" s="152"/>
      <c r="AH451" s="149"/>
    </row>
    <row r="452" customFormat="false" ht="12" hidden="false" customHeight="false" outlineLevel="0" collapsed="false">
      <c r="A452" s="134"/>
      <c r="B452" s="135"/>
      <c r="C452" s="143"/>
      <c r="D452" s="143"/>
      <c r="E452" s="143"/>
      <c r="F452" s="143"/>
      <c r="G452" s="143"/>
      <c r="H452" s="143"/>
      <c r="I452" s="143"/>
      <c r="J452" s="143"/>
      <c r="K452" s="143"/>
      <c r="L452" s="144"/>
      <c r="M452" s="143"/>
      <c r="N452" s="145"/>
      <c r="O452" s="146"/>
      <c r="P452" s="144"/>
      <c r="Q452" s="147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  <c r="AC452" s="148"/>
      <c r="AD452" s="149"/>
      <c r="AE452" s="150"/>
      <c r="AF452" s="151"/>
      <c r="AG452" s="152"/>
      <c r="AH452" s="149"/>
    </row>
    <row r="453" customFormat="false" ht="12" hidden="false" customHeight="false" outlineLevel="0" collapsed="false">
      <c r="A453" s="134"/>
      <c r="B453" s="135"/>
      <c r="C453" s="143"/>
      <c r="D453" s="143"/>
      <c r="E453" s="143"/>
      <c r="F453" s="143"/>
      <c r="G453" s="143"/>
      <c r="H453" s="143"/>
      <c r="I453" s="143"/>
      <c r="J453" s="143"/>
      <c r="K453" s="143"/>
      <c r="L453" s="144"/>
      <c r="M453" s="143"/>
      <c r="N453" s="145"/>
      <c r="O453" s="146"/>
      <c r="P453" s="144"/>
      <c r="Q453" s="147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9"/>
      <c r="AE453" s="150"/>
      <c r="AF453" s="151"/>
      <c r="AG453" s="152"/>
      <c r="AH453" s="149"/>
    </row>
    <row r="454" customFormat="false" ht="12" hidden="false" customHeight="false" outlineLevel="0" collapsed="false">
      <c r="A454" s="134"/>
      <c r="B454" s="135"/>
      <c r="C454" s="143"/>
      <c r="D454" s="143"/>
      <c r="E454" s="143"/>
      <c r="F454" s="143"/>
      <c r="G454" s="143"/>
      <c r="H454" s="143"/>
      <c r="I454" s="143"/>
      <c r="J454" s="143"/>
      <c r="K454" s="143"/>
      <c r="L454" s="144"/>
      <c r="M454" s="143"/>
      <c r="N454" s="145"/>
      <c r="O454" s="146"/>
      <c r="P454" s="144"/>
      <c r="Q454" s="147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  <c r="AC454" s="148"/>
      <c r="AD454" s="149"/>
      <c r="AE454" s="150"/>
      <c r="AF454" s="151"/>
      <c r="AG454" s="152"/>
      <c r="AH454" s="149"/>
    </row>
    <row r="455" customFormat="false" ht="12" hidden="false" customHeight="false" outlineLevel="0" collapsed="false">
      <c r="A455" s="134"/>
      <c r="B455" s="135"/>
      <c r="C455" s="143"/>
      <c r="D455" s="143"/>
      <c r="E455" s="143"/>
      <c r="F455" s="143"/>
      <c r="G455" s="143"/>
      <c r="H455" s="143"/>
      <c r="I455" s="143"/>
      <c r="J455" s="143"/>
      <c r="K455" s="143"/>
      <c r="L455" s="144"/>
      <c r="M455" s="143"/>
      <c r="N455" s="145"/>
      <c r="O455" s="146"/>
      <c r="P455" s="144"/>
      <c r="Q455" s="147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  <c r="AC455" s="148"/>
      <c r="AD455" s="149"/>
      <c r="AE455" s="150"/>
      <c r="AF455" s="151"/>
      <c r="AG455" s="152"/>
      <c r="AH455" s="149"/>
    </row>
    <row r="456" customFormat="false" ht="12" hidden="false" customHeight="false" outlineLevel="0" collapsed="false">
      <c r="A456" s="134"/>
      <c r="B456" s="135"/>
      <c r="C456" s="143"/>
      <c r="D456" s="143"/>
      <c r="E456" s="143"/>
      <c r="F456" s="143"/>
      <c r="G456" s="143"/>
      <c r="H456" s="143"/>
      <c r="I456" s="143"/>
      <c r="J456" s="143"/>
      <c r="K456" s="143"/>
      <c r="L456" s="144"/>
      <c r="M456" s="143"/>
      <c r="N456" s="145"/>
      <c r="O456" s="146"/>
      <c r="P456" s="144"/>
      <c r="Q456" s="147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  <c r="AC456" s="148"/>
      <c r="AD456" s="149"/>
      <c r="AE456" s="150"/>
      <c r="AF456" s="151"/>
      <c r="AG456" s="152"/>
      <c r="AH456" s="149"/>
    </row>
    <row r="457" customFormat="false" ht="12" hidden="false" customHeight="false" outlineLevel="0" collapsed="false">
      <c r="A457" s="134"/>
      <c r="B457" s="135"/>
      <c r="C457" s="143"/>
      <c r="D457" s="143"/>
      <c r="E457" s="143"/>
      <c r="F457" s="143"/>
      <c r="G457" s="143"/>
      <c r="H457" s="143"/>
      <c r="I457" s="143"/>
      <c r="J457" s="143"/>
      <c r="K457" s="143"/>
      <c r="L457" s="144"/>
      <c r="M457" s="143"/>
      <c r="N457" s="145"/>
      <c r="O457" s="146"/>
      <c r="P457" s="144"/>
      <c r="Q457" s="147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  <c r="AC457" s="148"/>
      <c r="AD457" s="149"/>
      <c r="AE457" s="150"/>
      <c r="AF457" s="151"/>
      <c r="AG457" s="152"/>
      <c r="AH457" s="149"/>
    </row>
    <row r="458" customFormat="false" ht="12" hidden="false" customHeight="false" outlineLevel="0" collapsed="false">
      <c r="A458" s="134"/>
      <c r="B458" s="135"/>
      <c r="C458" s="143"/>
      <c r="D458" s="143"/>
      <c r="E458" s="143"/>
      <c r="F458" s="143"/>
      <c r="G458" s="143"/>
      <c r="H458" s="143"/>
      <c r="I458" s="143"/>
      <c r="J458" s="143"/>
      <c r="K458" s="143"/>
      <c r="L458" s="144"/>
      <c r="M458" s="143"/>
      <c r="N458" s="145"/>
      <c r="O458" s="146"/>
      <c r="P458" s="144"/>
      <c r="Q458" s="147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  <c r="AC458" s="148"/>
      <c r="AD458" s="149"/>
      <c r="AE458" s="150"/>
      <c r="AF458" s="151"/>
      <c r="AG458" s="152"/>
      <c r="AH458" s="149"/>
    </row>
    <row r="459" customFormat="false" ht="12" hidden="false" customHeight="false" outlineLevel="0" collapsed="false">
      <c r="A459" s="134"/>
      <c r="B459" s="135"/>
      <c r="C459" s="143"/>
      <c r="D459" s="143"/>
      <c r="E459" s="143"/>
      <c r="F459" s="143"/>
      <c r="G459" s="143"/>
      <c r="H459" s="143"/>
      <c r="I459" s="143"/>
      <c r="J459" s="143"/>
      <c r="K459" s="143"/>
      <c r="L459" s="144"/>
      <c r="M459" s="143"/>
      <c r="N459" s="145"/>
      <c r="O459" s="146"/>
      <c r="P459" s="144"/>
      <c r="Q459" s="147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  <c r="AC459" s="148"/>
      <c r="AD459" s="149"/>
      <c r="AE459" s="150"/>
      <c r="AF459" s="151"/>
      <c r="AG459" s="152"/>
      <c r="AH459" s="149"/>
    </row>
    <row r="460" customFormat="false" ht="12" hidden="false" customHeight="false" outlineLevel="0" collapsed="false">
      <c r="A460" s="134"/>
      <c r="B460" s="135"/>
      <c r="C460" s="143"/>
      <c r="D460" s="143"/>
      <c r="E460" s="143"/>
      <c r="F460" s="143"/>
      <c r="G460" s="143"/>
      <c r="H460" s="143"/>
      <c r="I460" s="143"/>
      <c r="J460" s="143"/>
      <c r="K460" s="143"/>
      <c r="L460" s="144"/>
      <c r="M460" s="143"/>
      <c r="N460" s="145"/>
      <c r="O460" s="146"/>
      <c r="P460" s="144"/>
      <c r="Q460" s="147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  <c r="AC460" s="148"/>
      <c r="AD460" s="149"/>
      <c r="AE460" s="150"/>
      <c r="AF460" s="151"/>
      <c r="AG460" s="152"/>
      <c r="AH460" s="149"/>
    </row>
    <row r="461" customFormat="false" ht="12" hidden="false" customHeight="false" outlineLevel="0" collapsed="false">
      <c r="A461" s="134"/>
      <c r="B461" s="135"/>
      <c r="C461" s="143"/>
      <c r="D461" s="143"/>
      <c r="E461" s="143"/>
      <c r="F461" s="143"/>
      <c r="G461" s="143"/>
      <c r="H461" s="143"/>
      <c r="I461" s="143"/>
      <c r="J461" s="143"/>
      <c r="K461" s="143"/>
      <c r="L461" s="144"/>
      <c r="M461" s="143"/>
      <c r="N461" s="145"/>
      <c r="O461" s="146"/>
      <c r="P461" s="144"/>
      <c r="Q461" s="147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  <c r="AC461" s="148"/>
      <c r="AD461" s="149"/>
      <c r="AE461" s="150"/>
      <c r="AF461" s="151"/>
      <c r="AG461" s="152"/>
      <c r="AH461" s="149"/>
    </row>
    <row r="462" customFormat="false" ht="12" hidden="false" customHeight="false" outlineLevel="0" collapsed="false">
      <c r="A462" s="134"/>
      <c r="B462" s="135"/>
      <c r="C462" s="143"/>
      <c r="D462" s="143"/>
      <c r="E462" s="143"/>
      <c r="F462" s="143"/>
      <c r="G462" s="143"/>
      <c r="H462" s="143"/>
      <c r="I462" s="143"/>
      <c r="J462" s="143"/>
      <c r="K462" s="143"/>
      <c r="L462" s="144"/>
      <c r="M462" s="143"/>
      <c r="N462" s="145"/>
      <c r="O462" s="146"/>
      <c r="P462" s="144"/>
      <c r="Q462" s="147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  <c r="AC462" s="148"/>
      <c r="AD462" s="149"/>
      <c r="AE462" s="150"/>
      <c r="AF462" s="151"/>
      <c r="AG462" s="152"/>
      <c r="AH462" s="149"/>
    </row>
    <row r="463" customFormat="false" ht="12" hidden="false" customHeight="false" outlineLevel="0" collapsed="false">
      <c r="A463" s="134"/>
      <c r="B463" s="135"/>
      <c r="C463" s="143"/>
      <c r="D463" s="143"/>
      <c r="E463" s="143"/>
      <c r="F463" s="143"/>
      <c r="G463" s="143"/>
      <c r="H463" s="143"/>
      <c r="I463" s="143"/>
      <c r="J463" s="143"/>
      <c r="K463" s="143"/>
      <c r="L463" s="144"/>
      <c r="M463" s="143"/>
      <c r="N463" s="145"/>
      <c r="O463" s="146"/>
      <c r="P463" s="144"/>
      <c r="Q463" s="147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  <c r="AC463" s="148"/>
      <c r="AD463" s="149"/>
      <c r="AE463" s="150"/>
      <c r="AF463" s="151"/>
      <c r="AG463" s="152"/>
      <c r="AH463" s="149"/>
    </row>
    <row r="464" customFormat="false" ht="12" hidden="false" customHeight="false" outlineLevel="0" collapsed="false">
      <c r="A464" s="134"/>
      <c r="B464" s="135"/>
      <c r="C464" s="143"/>
      <c r="D464" s="143"/>
      <c r="E464" s="143"/>
      <c r="F464" s="143"/>
      <c r="G464" s="143"/>
      <c r="H464" s="143"/>
      <c r="I464" s="143"/>
      <c r="J464" s="143"/>
      <c r="K464" s="143"/>
      <c r="L464" s="144"/>
      <c r="M464" s="143"/>
      <c r="N464" s="145"/>
      <c r="O464" s="146"/>
      <c r="P464" s="144"/>
      <c r="Q464" s="147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  <c r="AC464" s="148"/>
      <c r="AD464" s="149"/>
      <c r="AE464" s="150"/>
      <c r="AF464" s="151"/>
      <c r="AG464" s="152"/>
      <c r="AH464" s="149"/>
    </row>
    <row r="465" customFormat="false" ht="12" hidden="false" customHeight="false" outlineLevel="0" collapsed="false">
      <c r="A465" s="134"/>
      <c r="B465" s="135"/>
      <c r="C465" s="143"/>
      <c r="D465" s="143"/>
      <c r="E465" s="143"/>
      <c r="F465" s="143"/>
      <c r="G465" s="143"/>
      <c r="H465" s="143"/>
      <c r="I465" s="143"/>
      <c r="J465" s="143"/>
      <c r="K465" s="143"/>
      <c r="L465" s="144"/>
      <c r="M465" s="143"/>
      <c r="N465" s="145"/>
      <c r="O465" s="146"/>
      <c r="P465" s="144"/>
      <c r="Q465" s="147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  <c r="AC465" s="148"/>
      <c r="AD465" s="149"/>
      <c r="AE465" s="150"/>
      <c r="AF465" s="151"/>
      <c r="AG465" s="152"/>
      <c r="AH465" s="149"/>
    </row>
    <row r="466" customFormat="false" ht="12" hidden="false" customHeight="false" outlineLevel="0" collapsed="false">
      <c r="A466" s="134"/>
      <c r="B466" s="135"/>
      <c r="C466" s="143"/>
      <c r="D466" s="143"/>
      <c r="E466" s="143"/>
      <c r="F466" s="143"/>
      <c r="G466" s="143"/>
      <c r="H466" s="143"/>
      <c r="I466" s="143"/>
      <c r="J466" s="143"/>
      <c r="K466" s="143"/>
      <c r="L466" s="144"/>
      <c r="M466" s="143"/>
      <c r="N466" s="145"/>
      <c r="O466" s="146"/>
      <c r="P466" s="144"/>
      <c r="Q466" s="147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  <c r="AC466" s="148"/>
      <c r="AD466" s="149"/>
      <c r="AE466" s="150"/>
      <c r="AF466" s="151"/>
      <c r="AG466" s="152"/>
      <c r="AH466" s="149"/>
    </row>
    <row r="467" customFormat="false" ht="12" hidden="false" customHeight="false" outlineLevel="0" collapsed="false">
      <c r="A467" s="134"/>
      <c r="B467" s="135"/>
      <c r="C467" s="143"/>
      <c r="D467" s="143"/>
      <c r="E467" s="143"/>
      <c r="F467" s="143"/>
      <c r="G467" s="143"/>
      <c r="H467" s="143"/>
      <c r="I467" s="143"/>
      <c r="J467" s="143"/>
      <c r="K467" s="143"/>
      <c r="L467" s="144"/>
      <c r="M467" s="143"/>
      <c r="N467" s="145"/>
      <c r="O467" s="146"/>
      <c r="P467" s="144"/>
      <c r="Q467" s="147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  <c r="AC467" s="148"/>
      <c r="AD467" s="149"/>
      <c r="AE467" s="150"/>
      <c r="AF467" s="151"/>
      <c r="AG467" s="152"/>
      <c r="AH467" s="149"/>
    </row>
    <row r="468" customFormat="false" ht="12" hidden="false" customHeight="false" outlineLevel="0" collapsed="false">
      <c r="A468" s="134"/>
      <c r="B468" s="135"/>
      <c r="C468" s="143"/>
      <c r="D468" s="143"/>
      <c r="E468" s="143"/>
      <c r="F468" s="143"/>
      <c r="G468" s="143"/>
      <c r="H468" s="143"/>
      <c r="I468" s="143"/>
      <c r="J468" s="143"/>
      <c r="K468" s="143"/>
      <c r="L468" s="144"/>
      <c r="M468" s="143"/>
      <c r="N468" s="145"/>
      <c r="O468" s="146"/>
      <c r="P468" s="144"/>
      <c r="Q468" s="147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  <c r="AC468" s="148"/>
      <c r="AD468" s="149"/>
      <c r="AE468" s="150"/>
      <c r="AF468" s="151"/>
      <c r="AG468" s="152"/>
      <c r="AH468" s="149"/>
    </row>
    <row r="469" customFormat="false" ht="12" hidden="false" customHeight="false" outlineLevel="0" collapsed="false">
      <c r="A469" s="134"/>
      <c r="B469" s="135"/>
      <c r="C469" s="143"/>
      <c r="D469" s="143"/>
      <c r="E469" s="143"/>
      <c r="F469" s="143"/>
      <c r="G469" s="143"/>
      <c r="H469" s="143"/>
      <c r="I469" s="143"/>
      <c r="J469" s="143"/>
      <c r="K469" s="143"/>
      <c r="L469" s="144"/>
      <c r="M469" s="143"/>
      <c r="N469" s="145"/>
      <c r="O469" s="146"/>
      <c r="P469" s="144"/>
      <c r="Q469" s="147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  <c r="AC469" s="148"/>
      <c r="AD469" s="149"/>
      <c r="AE469" s="150"/>
      <c r="AF469" s="151"/>
      <c r="AG469" s="152"/>
      <c r="AH469" s="149"/>
    </row>
    <row r="470" customFormat="false" ht="12" hidden="false" customHeight="false" outlineLevel="0" collapsed="false">
      <c r="A470" s="134"/>
      <c r="B470" s="135"/>
      <c r="C470" s="143"/>
      <c r="D470" s="143"/>
      <c r="E470" s="143"/>
      <c r="F470" s="143"/>
      <c r="G470" s="143"/>
      <c r="H470" s="143"/>
      <c r="I470" s="143"/>
      <c r="J470" s="143"/>
      <c r="K470" s="143"/>
      <c r="L470" s="144"/>
      <c r="M470" s="143"/>
      <c r="N470" s="145"/>
      <c r="O470" s="146"/>
      <c r="P470" s="144"/>
      <c r="Q470" s="147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  <c r="AC470" s="148"/>
      <c r="AD470" s="149"/>
      <c r="AE470" s="150"/>
      <c r="AF470" s="151"/>
      <c r="AG470" s="152"/>
      <c r="AH470" s="149"/>
    </row>
    <row r="471" customFormat="false" ht="12" hidden="false" customHeight="false" outlineLevel="0" collapsed="false">
      <c r="A471" s="134"/>
      <c r="B471" s="135"/>
      <c r="C471" s="143"/>
      <c r="D471" s="143"/>
      <c r="E471" s="143"/>
      <c r="F471" s="143"/>
      <c r="G471" s="143"/>
      <c r="H471" s="143"/>
      <c r="I471" s="143"/>
      <c r="J471" s="143"/>
      <c r="K471" s="143"/>
      <c r="L471" s="144"/>
      <c r="M471" s="143"/>
      <c r="N471" s="145"/>
      <c r="O471" s="146"/>
      <c r="P471" s="144"/>
      <c r="Q471" s="147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  <c r="AC471" s="148"/>
      <c r="AD471" s="149"/>
      <c r="AE471" s="150"/>
      <c r="AF471" s="151"/>
      <c r="AG471" s="152"/>
      <c r="AH471" s="149"/>
    </row>
    <row r="472" customFormat="false" ht="12" hidden="false" customHeight="false" outlineLevel="0" collapsed="false">
      <c r="A472" s="134"/>
      <c r="B472" s="135"/>
      <c r="C472" s="143"/>
      <c r="D472" s="143"/>
      <c r="E472" s="143"/>
      <c r="F472" s="143"/>
      <c r="G472" s="143"/>
      <c r="H472" s="143"/>
      <c r="I472" s="143"/>
      <c r="J472" s="143"/>
      <c r="K472" s="143"/>
      <c r="L472" s="144"/>
      <c r="M472" s="143"/>
      <c r="N472" s="145"/>
      <c r="O472" s="146"/>
      <c r="P472" s="144"/>
      <c r="Q472" s="147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  <c r="AC472" s="148"/>
      <c r="AD472" s="149"/>
      <c r="AE472" s="150"/>
      <c r="AF472" s="151"/>
      <c r="AG472" s="152"/>
      <c r="AH472" s="149"/>
    </row>
    <row r="473" customFormat="false" ht="12" hidden="false" customHeight="false" outlineLevel="0" collapsed="false">
      <c r="A473" s="134"/>
      <c r="B473" s="135"/>
      <c r="C473" s="143"/>
      <c r="D473" s="143"/>
      <c r="E473" s="143"/>
      <c r="F473" s="143"/>
      <c r="G473" s="143"/>
      <c r="H473" s="143"/>
      <c r="I473" s="143"/>
      <c r="J473" s="143"/>
      <c r="K473" s="143"/>
      <c r="L473" s="144"/>
      <c r="M473" s="143"/>
      <c r="N473" s="145"/>
      <c r="O473" s="146"/>
      <c r="P473" s="144"/>
      <c r="Q473" s="147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  <c r="AC473" s="148"/>
      <c r="AD473" s="149"/>
      <c r="AE473" s="150"/>
      <c r="AF473" s="151"/>
      <c r="AG473" s="152"/>
      <c r="AH473" s="149"/>
    </row>
    <row r="474" customFormat="false" ht="12" hidden="false" customHeight="false" outlineLevel="0" collapsed="false">
      <c r="A474" s="134"/>
      <c r="B474" s="135"/>
      <c r="C474" s="143"/>
      <c r="D474" s="143"/>
      <c r="E474" s="143"/>
      <c r="F474" s="143"/>
      <c r="G474" s="143"/>
      <c r="H474" s="143"/>
      <c r="I474" s="143"/>
      <c r="J474" s="143"/>
      <c r="K474" s="143"/>
      <c r="L474" s="144"/>
      <c r="M474" s="143"/>
      <c r="N474" s="145"/>
      <c r="O474" s="146"/>
      <c r="P474" s="144"/>
      <c r="Q474" s="147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  <c r="AC474" s="148"/>
      <c r="AD474" s="149"/>
      <c r="AE474" s="150"/>
      <c r="AF474" s="151"/>
      <c r="AG474" s="152"/>
      <c r="AH474" s="149"/>
    </row>
    <row r="475" customFormat="false" ht="12" hidden="false" customHeight="false" outlineLevel="0" collapsed="false">
      <c r="A475" s="134"/>
      <c r="B475" s="135"/>
      <c r="C475" s="143"/>
      <c r="D475" s="143"/>
      <c r="E475" s="143"/>
      <c r="F475" s="143"/>
      <c r="G475" s="143"/>
      <c r="H475" s="143"/>
      <c r="I475" s="143"/>
      <c r="J475" s="143"/>
      <c r="K475" s="143"/>
      <c r="L475" s="144"/>
      <c r="M475" s="143"/>
      <c r="N475" s="145"/>
      <c r="O475" s="146"/>
      <c r="P475" s="144"/>
      <c r="Q475" s="147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  <c r="AC475" s="148"/>
      <c r="AD475" s="149"/>
      <c r="AE475" s="150"/>
      <c r="AF475" s="151"/>
      <c r="AG475" s="152"/>
      <c r="AH475" s="149"/>
    </row>
    <row r="476" customFormat="false" ht="12" hidden="false" customHeight="false" outlineLevel="0" collapsed="false">
      <c r="A476" s="134"/>
      <c r="B476" s="135"/>
      <c r="C476" s="143"/>
      <c r="D476" s="143"/>
      <c r="E476" s="143"/>
      <c r="F476" s="143"/>
      <c r="G476" s="143"/>
      <c r="H476" s="143"/>
      <c r="I476" s="143"/>
      <c r="J476" s="143"/>
      <c r="K476" s="143"/>
      <c r="L476" s="144"/>
      <c r="M476" s="143"/>
      <c r="N476" s="145"/>
      <c r="O476" s="146"/>
      <c r="P476" s="144"/>
      <c r="Q476" s="147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  <c r="AC476" s="148"/>
      <c r="AD476" s="149"/>
      <c r="AE476" s="150"/>
      <c r="AF476" s="151"/>
      <c r="AG476" s="152"/>
      <c r="AH476" s="149"/>
    </row>
    <row r="477" customFormat="false" ht="12" hidden="false" customHeight="false" outlineLevel="0" collapsed="false">
      <c r="A477" s="134"/>
      <c r="B477" s="135"/>
      <c r="C477" s="143"/>
      <c r="D477" s="143"/>
      <c r="E477" s="143"/>
      <c r="F477" s="143"/>
      <c r="G477" s="143"/>
      <c r="H477" s="143"/>
      <c r="I477" s="143"/>
      <c r="J477" s="143"/>
      <c r="K477" s="143"/>
      <c r="L477" s="144"/>
      <c r="M477" s="143"/>
      <c r="N477" s="145"/>
      <c r="O477" s="146"/>
      <c r="P477" s="144"/>
      <c r="Q477" s="147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  <c r="AC477" s="148"/>
      <c r="AD477" s="149"/>
      <c r="AE477" s="150"/>
      <c r="AF477" s="151"/>
      <c r="AG477" s="152"/>
      <c r="AH477" s="149"/>
    </row>
    <row r="478" customFormat="false" ht="12" hidden="false" customHeight="false" outlineLevel="0" collapsed="false">
      <c r="A478" s="134"/>
      <c r="B478" s="135"/>
      <c r="C478" s="143"/>
      <c r="D478" s="143"/>
      <c r="E478" s="143"/>
      <c r="F478" s="143"/>
      <c r="G478" s="143"/>
      <c r="H478" s="143"/>
      <c r="I478" s="143"/>
      <c r="J478" s="143"/>
      <c r="K478" s="143"/>
      <c r="L478" s="144"/>
      <c r="M478" s="143"/>
      <c r="N478" s="145"/>
      <c r="O478" s="146"/>
      <c r="P478" s="144"/>
      <c r="Q478" s="147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  <c r="AC478" s="148"/>
      <c r="AD478" s="149"/>
      <c r="AE478" s="150"/>
      <c r="AF478" s="151"/>
      <c r="AG478" s="152"/>
      <c r="AH478" s="149"/>
    </row>
    <row r="479" customFormat="false" ht="12" hidden="false" customHeight="false" outlineLevel="0" collapsed="false">
      <c r="A479" s="134"/>
      <c r="B479" s="135"/>
      <c r="C479" s="143"/>
      <c r="D479" s="143"/>
      <c r="E479" s="143"/>
      <c r="F479" s="143"/>
      <c r="G479" s="143"/>
      <c r="H479" s="143"/>
      <c r="I479" s="143"/>
      <c r="J479" s="143"/>
      <c r="K479" s="143"/>
      <c r="L479" s="144"/>
      <c r="M479" s="143"/>
      <c r="N479" s="145"/>
      <c r="O479" s="146"/>
      <c r="P479" s="144"/>
      <c r="Q479" s="147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  <c r="AC479" s="148"/>
      <c r="AD479" s="149"/>
      <c r="AE479" s="150"/>
      <c r="AF479" s="151"/>
      <c r="AG479" s="152"/>
      <c r="AH479" s="149"/>
    </row>
    <row r="480" customFormat="false" ht="12" hidden="false" customHeight="false" outlineLevel="0" collapsed="false">
      <c r="A480" s="134"/>
      <c r="B480" s="135"/>
      <c r="C480" s="143"/>
      <c r="D480" s="143"/>
      <c r="E480" s="143"/>
      <c r="F480" s="143"/>
      <c r="G480" s="143"/>
      <c r="H480" s="143"/>
      <c r="I480" s="143"/>
      <c r="J480" s="143"/>
      <c r="K480" s="143"/>
      <c r="L480" s="144"/>
      <c r="M480" s="143"/>
      <c r="N480" s="145"/>
      <c r="O480" s="146"/>
      <c r="P480" s="144"/>
      <c r="Q480" s="147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  <c r="AC480" s="148"/>
      <c r="AD480" s="149"/>
      <c r="AE480" s="150"/>
      <c r="AF480" s="151"/>
      <c r="AG480" s="152"/>
      <c r="AH480" s="149"/>
    </row>
    <row r="481" customFormat="false" ht="12" hidden="false" customHeight="false" outlineLevel="0" collapsed="false">
      <c r="A481" s="134"/>
      <c r="B481" s="135"/>
      <c r="C481" s="143"/>
      <c r="D481" s="143"/>
      <c r="E481" s="143"/>
      <c r="F481" s="143"/>
      <c r="G481" s="143"/>
      <c r="H481" s="143"/>
      <c r="I481" s="143"/>
      <c r="J481" s="143"/>
      <c r="K481" s="143"/>
      <c r="L481" s="144"/>
      <c r="M481" s="143"/>
      <c r="N481" s="145"/>
      <c r="O481" s="146"/>
      <c r="P481" s="144"/>
      <c r="Q481" s="147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9"/>
      <c r="AE481" s="150"/>
      <c r="AF481" s="151"/>
      <c r="AG481" s="152"/>
      <c r="AH481" s="149"/>
    </row>
    <row r="482" customFormat="false" ht="12" hidden="false" customHeight="false" outlineLevel="0" collapsed="false">
      <c r="A482" s="134"/>
      <c r="B482" s="135"/>
      <c r="C482" s="143"/>
      <c r="D482" s="143"/>
      <c r="E482" s="143"/>
      <c r="F482" s="143"/>
      <c r="G482" s="143"/>
      <c r="H482" s="143"/>
      <c r="I482" s="143"/>
      <c r="J482" s="143"/>
      <c r="K482" s="143"/>
      <c r="L482" s="144"/>
      <c r="M482" s="143"/>
      <c r="N482" s="145"/>
      <c r="O482" s="146"/>
      <c r="P482" s="144"/>
      <c r="Q482" s="147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  <c r="AC482" s="148"/>
      <c r="AD482" s="149"/>
      <c r="AE482" s="150"/>
      <c r="AF482" s="151"/>
      <c r="AG482" s="152"/>
      <c r="AH482" s="149"/>
    </row>
    <row r="483" customFormat="false" ht="12" hidden="false" customHeight="false" outlineLevel="0" collapsed="false">
      <c r="A483" s="134"/>
      <c r="B483" s="135"/>
      <c r="C483" s="143"/>
      <c r="D483" s="143"/>
      <c r="E483" s="143"/>
      <c r="F483" s="143"/>
      <c r="G483" s="143"/>
      <c r="H483" s="143"/>
      <c r="I483" s="143"/>
      <c r="J483" s="143"/>
      <c r="K483" s="143"/>
      <c r="L483" s="144"/>
      <c r="M483" s="143"/>
      <c r="N483" s="145"/>
      <c r="O483" s="146"/>
      <c r="P483" s="144"/>
      <c r="Q483" s="147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  <c r="AC483" s="148"/>
      <c r="AD483" s="149"/>
      <c r="AE483" s="150"/>
      <c r="AF483" s="151"/>
      <c r="AG483" s="152"/>
      <c r="AH483" s="149"/>
    </row>
    <row r="484" customFormat="false" ht="12" hidden="false" customHeight="false" outlineLevel="0" collapsed="false">
      <c r="A484" s="134"/>
      <c r="B484" s="135"/>
      <c r="C484" s="143"/>
      <c r="D484" s="143"/>
      <c r="E484" s="143"/>
      <c r="F484" s="143"/>
      <c r="G484" s="143"/>
      <c r="H484" s="143"/>
      <c r="I484" s="143"/>
      <c r="J484" s="143"/>
      <c r="K484" s="143"/>
      <c r="L484" s="144"/>
      <c r="M484" s="143"/>
      <c r="N484" s="145"/>
      <c r="O484" s="146"/>
      <c r="P484" s="144"/>
      <c r="Q484" s="147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  <c r="AC484" s="148"/>
      <c r="AD484" s="149"/>
      <c r="AE484" s="150"/>
      <c r="AF484" s="151"/>
      <c r="AG484" s="152"/>
      <c r="AH484" s="149"/>
    </row>
    <row r="485" customFormat="false" ht="12" hidden="false" customHeight="false" outlineLevel="0" collapsed="false">
      <c r="A485" s="134"/>
      <c r="B485" s="135"/>
      <c r="C485" s="143"/>
      <c r="D485" s="143"/>
      <c r="E485" s="143"/>
      <c r="F485" s="143"/>
      <c r="G485" s="143"/>
      <c r="H485" s="143"/>
      <c r="I485" s="143"/>
      <c r="J485" s="143"/>
      <c r="K485" s="143"/>
      <c r="L485" s="144"/>
      <c r="M485" s="143"/>
      <c r="N485" s="145"/>
      <c r="O485" s="146"/>
      <c r="P485" s="144"/>
      <c r="Q485" s="147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  <c r="AC485" s="148"/>
      <c r="AD485" s="149"/>
      <c r="AE485" s="150"/>
      <c r="AF485" s="151"/>
      <c r="AG485" s="152"/>
      <c r="AH485" s="149"/>
    </row>
    <row r="486" customFormat="false" ht="12" hidden="false" customHeight="false" outlineLevel="0" collapsed="false">
      <c r="A486" s="134"/>
      <c r="B486" s="135"/>
      <c r="C486" s="143"/>
      <c r="D486" s="143"/>
      <c r="E486" s="143"/>
      <c r="F486" s="143"/>
      <c r="G486" s="143"/>
      <c r="H486" s="143"/>
      <c r="I486" s="143"/>
      <c r="J486" s="143"/>
      <c r="K486" s="143"/>
      <c r="L486" s="144"/>
      <c r="M486" s="143"/>
      <c r="N486" s="145"/>
      <c r="O486" s="146"/>
      <c r="P486" s="144"/>
      <c r="Q486" s="147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  <c r="AC486" s="148"/>
      <c r="AD486" s="149"/>
      <c r="AE486" s="150"/>
      <c r="AF486" s="151"/>
      <c r="AG486" s="152"/>
      <c r="AH486" s="149"/>
    </row>
    <row r="487" customFormat="false" ht="12" hidden="false" customHeight="false" outlineLevel="0" collapsed="false">
      <c r="A487" s="134"/>
      <c r="B487" s="135"/>
      <c r="C487" s="143"/>
      <c r="D487" s="143"/>
      <c r="E487" s="143"/>
      <c r="F487" s="143"/>
      <c r="G487" s="143"/>
      <c r="H487" s="143"/>
      <c r="I487" s="143"/>
      <c r="J487" s="143"/>
      <c r="K487" s="143"/>
      <c r="L487" s="144"/>
      <c r="M487" s="143"/>
      <c r="N487" s="145"/>
      <c r="O487" s="146"/>
      <c r="P487" s="144"/>
      <c r="Q487" s="147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  <c r="AC487" s="148"/>
      <c r="AD487" s="149"/>
      <c r="AE487" s="150"/>
      <c r="AF487" s="151"/>
      <c r="AG487" s="152"/>
      <c r="AH487" s="149"/>
    </row>
    <row r="488" customFormat="false" ht="12" hidden="false" customHeight="false" outlineLevel="0" collapsed="false">
      <c r="A488" s="134"/>
      <c r="B488" s="135"/>
      <c r="C488" s="143"/>
      <c r="D488" s="143"/>
      <c r="E488" s="143"/>
      <c r="F488" s="143"/>
      <c r="G488" s="143"/>
      <c r="H488" s="143"/>
      <c r="I488" s="143"/>
      <c r="J488" s="143"/>
      <c r="K488" s="143"/>
      <c r="L488" s="144"/>
      <c r="M488" s="143"/>
      <c r="N488" s="145"/>
      <c r="O488" s="146"/>
      <c r="P488" s="144"/>
      <c r="Q488" s="147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  <c r="AC488" s="148"/>
      <c r="AD488" s="149"/>
      <c r="AE488" s="150"/>
      <c r="AF488" s="151"/>
      <c r="AG488" s="152"/>
      <c r="AH488" s="149"/>
    </row>
    <row r="489" customFormat="false" ht="12" hidden="false" customHeight="false" outlineLevel="0" collapsed="false">
      <c r="A489" s="134"/>
      <c r="B489" s="135"/>
      <c r="C489" s="143"/>
      <c r="D489" s="143"/>
      <c r="E489" s="143"/>
      <c r="F489" s="143"/>
      <c r="G489" s="143"/>
      <c r="H489" s="143"/>
      <c r="I489" s="143"/>
      <c r="J489" s="143"/>
      <c r="K489" s="143"/>
      <c r="L489" s="144"/>
      <c r="M489" s="143"/>
      <c r="N489" s="145"/>
      <c r="O489" s="146"/>
      <c r="P489" s="144"/>
      <c r="Q489" s="147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  <c r="AC489" s="148"/>
      <c r="AD489" s="149"/>
      <c r="AE489" s="150"/>
      <c r="AF489" s="151"/>
      <c r="AG489" s="152"/>
      <c r="AH489" s="149"/>
    </row>
    <row r="490" customFormat="false" ht="12" hidden="false" customHeight="false" outlineLevel="0" collapsed="false">
      <c r="A490" s="134"/>
      <c r="B490" s="135"/>
      <c r="C490" s="143"/>
      <c r="D490" s="143"/>
      <c r="E490" s="143"/>
      <c r="F490" s="143"/>
      <c r="G490" s="143"/>
      <c r="H490" s="143"/>
      <c r="I490" s="143"/>
      <c r="J490" s="143"/>
      <c r="K490" s="143"/>
      <c r="L490" s="144"/>
      <c r="M490" s="143"/>
      <c r="N490" s="145"/>
      <c r="O490" s="146"/>
      <c r="P490" s="144"/>
      <c r="Q490" s="147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  <c r="AC490" s="148"/>
      <c r="AD490" s="149"/>
      <c r="AE490" s="150"/>
      <c r="AF490" s="151"/>
      <c r="AG490" s="152"/>
      <c r="AH490" s="149"/>
    </row>
    <row r="491" customFormat="false" ht="12" hidden="false" customHeight="false" outlineLevel="0" collapsed="false">
      <c r="A491" s="134"/>
      <c r="B491" s="135"/>
      <c r="C491" s="143"/>
      <c r="D491" s="143"/>
      <c r="E491" s="143"/>
      <c r="F491" s="143"/>
      <c r="G491" s="143"/>
      <c r="H491" s="143"/>
      <c r="I491" s="143"/>
      <c r="J491" s="143"/>
      <c r="K491" s="143"/>
      <c r="L491" s="144"/>
      <c r="M491" s="143"/>
      <c r="N491" s="145"/>
      <c r="O491" s="146"/>
      <c r="P491" s="144"/>
      <c r="Q491" s="147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  <c r="AC491" s="148"/>
      <c r="AD491" s="149"/>
      <c r="AE491" s="150"/>
      <c r="AF491" s="151"/>
      <c r="AG491" s="152"/>
      <c r="AH491" s="149"/>
    </row>
    <row r="492" customFormat="false" ht="12" hidden="false" customHeight="false" outlineLevel="0" collapsed="false">
      <c r="A492" s="134"/>
      <c r="B492" s="135"/>
      <c r="C492" s="143"/>
      <c r="D492" s="143"/>
      <c r="E492" s="143"/>
      <c r="F492" s="143"/>
      <c r="G492" s="143"/>
      <c r="H492" s="143"/>
      <c r="I492" s="143"/>
      <c r="J492" s="143"/>
      <c r="K492" s="143"/>
      <c r="L492" s="144"/>
      <c r="M492" s="143"/>
      <c r="N492" s="145"/>
      <c r="O492" s="146"/>
      <c r="P492" s="144"/>
      <c r="Q492" s="147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  <c r="AC492" s="148"/>
      <c r="AD492" s="149"/>
      <c r="AE492" s="150"/>
      <c r="AF492" s="151"/>
      <c r="AG492" s="152"/>
      <c r="AH492" s="149"/>
    </row>
    <row r="493" customFormat="false" ht="12" hidden="false" customHeight="false" outlineLevel="0" collapsed="false">
      <c r="A493" s="134"/>
      <c r="B493" s="135"/>
      <c r="C493" s="143"/>
      <c r="D493" s="143"/>
      <c r="E493" s="143"/>
      <c r="F493" s="143"/>
      <c r="G493" s="143"/>
      <c r="H493" s="143"/>
      <c r="I493" s="143"/>
      <c r="J493" s="143"/>
      <c r="K493" s="143"/>
      <c r="L493" s="144"/>
      <c r="M493" s="143"/>
      <c r="N493" s="145"/>
      <c r="O493" s="146"/>
      <c r="P493" s="144"/>
      <c r="Q493" s="147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  <c r="AC493" s="148"/>
      <c r="AD493" s="149"/>
      <c r="AE493" s="150"/>
      <c r="AF493" s="151"/>
      <c r="AG493" s="152"/>
      <c r="AH493" s="149"/>
    </row>
    <row r="494" customFormat="false" ht="12" hidden="false" customHeight="false" outlineLevel="0" collapsed="false">
      <c r="A494" s="134"/>
      <c r="B494" s="135"/>
      <c r="C494" s="143"/>
      <c r="D494" s="143"/>
      <c r="E494" s="143"/>
      <c r="F494" s="143"/>
      <c r="G494" s="143"/>
      <c r="H494" s="143"/>
      <c r="I494" s="143"/>
      <c r="J494" s="143"/>
      <c r="K494" s="143"/>
      <c r="L494" s="144"/>
      <c r="M494" s="143"/>
      <c r="N494" s="145"/>
      <c r="O494" s="146"/>
      <c r="P494" s="144"/>
      <c r="Q494" s="147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  <c r="AC494" s="148"/>
      <c r="AD494" s="149"/>
      <c r="AE494" s="150"/>
      <c r="AF494" s="151"/>
      <c r="AG494" s="152"/>
      <c r="AH494" s="149"/>
    </row>
    <row r="495" customFormat="false" ht="12" hidden="false" customHeight="false" outlineLevel="0" collapsed="false">
      <c r="A495" s="134"/>
      <c r="B495" s="135"/>
      <c r="C495" s="143"/>
      <c r="D495" s="143"/>
      <c r="E495" s="143"/>
      <c r="F495" s="143"/>
      <c r="G495" s="143"/>
      <c r="H495" s="143"/>
      <c r="I495" s="143"/>
      <c r="J495" s="143"/>
      <c r="K495" s="143"/>
      <c r="L495" s="144"/>
      <c r="M495" s="143"/>
      <c r="N495" s="145"/>
      <c r="O495" s="146"/>
      <c r="P495" s="144"/>
      <c r="Q495" s="147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  <c r="AC495" s="148"/>
      <c r="AD495" s="149"/>
      <c r="AE495" s="150"/>
      <c r="AF495" s="151"/>
      <c r="AG495" s="152"/>
      <c r="AH495" s="149"/>
    </row>
    <row r="496" customFormat="false" ht="12" hidden="false" customHeight="false" outlineLevel="0" collapsed="false">
      <c r="A496" s="134"/>
      <c r="B496" s="135"/>
      <c r="C496" s="143"/>
      <c r="D496" s="143"/>
      <c r="E496" s="143"/>
      <c r="F496" s="143"/>
      <c r="G496" s="143"/>
      <c r="H496" s="143"/>
      <c r="I496" s="143"/>
      <c r="J496" s="143"/>
      <c r="K496" s="143"/>
      <c r="L496" s="144"/>
      <c r="M496" s="143"/>
      <c r="N496" s="145"/>
      <c r="O496" s="146"/>
      <c r="P496" s="144"/>
      <c r="Q496" s="147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  <c r="AC496" s="148"/>
      <c r="AD496" s="149"/>
      <c r="AE496" s="150"/>
      <c r="AF496" s="151"/>
      <c r="AG496" s="152"/>
      <c r="AH496" s="149"/>
    </row>
    <row r="497" customFormat="false" ht="12" hidden="false" customHeight="false" outlineLevel="0" collapsed="false">
      <c r="A497" s="134"/>
      <c r="B497" s="135"/>
      <c r="C497" s="143"/>
      <c r="D497" s="143"/>
      <c r="E497" s="143"/>
      <c r="F497" s="143"/>
      <c r="G497" s="143"/>
      <c r="H497" s="143"/>
      <c r="I497" s="143"/>
      <c r="J497" s="143"/>
      <c r="K497" s="143"/>
      <c r="L497" s="144"/>
      <c r="M497" s="143"/>
      <c r="N497" s="145"/>
      <c r="O497" s="146"/>
      <c r="P497" s="144"/>
      <c r="Q497" s="147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  <c r="AC497" s="148"/>
      <c r="AD497" s="149"/>
      <c r="AE497" s="150"/>
      <c r="AF497" s="151"/>
      <c r="AG497" s="152"/>
      <c r="AH497" s="149"/>
    </row>
    <row r="498" customFormat="false" ht="12" hidden="false" customHeight="false" outlineLevel="0" collapsed="false">
      <c r="A498" s="134"/>
      <c r="B498" s="135"/>
      <c r="C498" s="143"/>
      <c r="D498" s="143"/>
      <c r="E498" s="143"/>
      <c r="F498" s="143"/>
      <c r="G498" s="143"/>
      <c r="H498" s="143"/>
      <c r="I498" s="143"/>
      <c r="J498" s="143"/>
      <c r="K498" s="143"/>
      <c r="L498" s="144"/>
      <c r="M498" s="143"/>
      <c r="N498" s="145"/>
      <c r="O498" s="146"/>
      <c r="P498" s="144"/>
      <c r="Q498" s="147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  <c r="AC498" s="148"/>
      <c r="AD498" s="149"/>
      <c r="AE498" s="150"/>
      <c r="AF498" s="151"/>
      <c r="AG498" s="152"/>
      <c r="AH498" s="149"/>
    </row>
    <row r="499" customFormat="false" ht="12" hidden="false" customHeight="false" outlineLevel="0" collapsed="false">
      <c r="A499" s="134"/>
      <c r="B499" s="135"/>
      <c r="C499" s="143"/>
      <c r="D499" s="143"/>
      <c r="E499" s="143"/>
      <c r="F499" s="143"/>
      <c r="G499" s="143"/>
      <c r="H499" s="143"/>
      <c r="I499" s="143"/>
      <c r="J499" s="143"/>
      <c r="K499" s="143"/>
      <c r="L499" s="144"/>
      <c r="M499" s="143"/>
      <c r="N499" s="145"/>
      <c r="O499" s="146"/>
      <c r="P499" s="144"/>
      <c r="Q499" s="147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  <c r="AC499" s="148"/>
      <c r="AD499" s="149"/>
      <c r="AE499" s="150"/>
      <c r="AF499" s="151"/>
      <c r="AG499" s="152"/>
      <c r="AH499" s="149"/>
    </row>
    <row r="500" customFormat="false" ht="12" hidden="false" customHeight="false" outlineLevel="0" collapsed="false">
      <c r="A500" s="134"/>
      <c r="B500" s="135"/>
      <c r="C500" s="143"/>
      <c r="D500" s="143"/>
      <c r="E500" s="143"/>
      <c r="F500" s="143"/>
      <c r="G500" s="143"/>
      <c r="H500" s="143"/>
      <c r="I500" s="143"/>
      <c r="J500" s="143"/>
      <c r="K500" s="143"/>
      <c r="L500" s="144"/>
      <c r="M500" s="143"/>
      <c r="N500" s="145"/>
      <c r="O500" s="146"/>
      <c r="P500" s="144"/>
      <c r="Q500" s="147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  <c r="AC500" s="148"/>
      <c r="AD500" s="149"/>
      <c r="AE500" s="150"/>
      <c r="AF500" s="151"/>
      <c r="AG500" s="152"/>
      <c r="AH500" s="149"/>
    </row>
    <row r="501" customFormat="false" ht="12" hidden="false" customHeight="false" outlineLevel="0" collapsed="false">
      <c r="A501" s="134"/>
      <c r="B501" s="135"/>
      <c r="C501" s="143"/>
      <c r="D501" s="143"/>
      <c r="E501" s="143"/>
      <c r="F501" s="143"/>
      <c r="G501" s="143"/>
      <c r="H501" s="143"/>
      <c r="I501" s="143"/>
      <c r="J501" s="143"/>
      <c r="K501" s="143"/>
      <c r="L501" s="144"/>
      <c r="M501" s="143"/>
      <c r="N501" s="145"/>
      <c r="O501" s="146"/>
      <c r="P501" s="144"/>
      <c r="Q501" s="147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  <c r="AC501" s="148"/>
      <c r="AD501" s="149"/>
      <c r="AE501" s="150"/>
      <c r="AF501" s="151"/>
      <c r="AG501" s="152"/>
      <c r="AH501" s="149"/>
    </row>
    <row r="502" customFormat="false" ht="12" hidden="false" customHeight="false" outlineLevel="0" collapsed="false">
      <c r="A502" s="134"/>
      <c r="B502" s="135"/>
      <c r="C502" s="143"/>
      <c r="D502" s="143"/>
      <c r="E502" s="143"/>
      <c r="F502" s="143"/>
      <c r="G502" s="143"/>
      <c r="H502" s="143"/>
      <c r="I502" s="143"/>
      <c r="J502" s="143"/>
      <c r="K502" s="143"/>
      <c r="L502" s="144"/>
      <c r="M502" s="143"/>
      <c r="N502" s="145"/>
      <c r="O502" s="146"/>
      <c r="P502" s="144"/>
      <c r="Q502" s="147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  <c r="AC502" s="148"/>
      <c r="AD502" s="149"/>
      <c r="AE502" s="150"/>
      <c r="AF502" s="151"/>
      <c r="AG502" s="152"/>
      <c r="AH502" s="149"/>
    </row>
    <row r="503" customFormat="false" ht="12" hidden="false" customHeight="false" outlineLevel="0" collapsed="false">
      <c r="A503" s="134"/>
      <c r="B503" s="135"/>
      <c r="C503" s="143"/>
      <c r="D503" s="143"/>
      <c r="E503" s="143"/>
      <c r="F503" s="143"/>
      <c r="G503" s="143"/>
      <c r="H503" s="143"/>
      <c r="I503" s="143"/>
      <c r="J503" s="143"/>
      <c r="K503" s="143"/>
      <c r="L503" s="144"/>
      <c r="M503" s="143"/>
      <c r="N503" s="145"/>
      <c r="O503" s="146"/>
      <c r="P503" s="144"/>
      <c r="Q503" s="147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  <c r="AC503" s="148"/>
      <c r="AD503" s="149"/>
      <c r="AE503" s="150"/>
      <c r="AF503" s="151"/>
      <c r="AG503" s="152"/>
      <c r="AH503" s="149"/>
    </row>
    <row r="504" customFormat="false" ht="12" hidden="false" customHeight="false" outlineLevel="0" collapsed="false">
      <c r="A504" s="134"/>
      <c r="B504" s="135"/>
      <c r="C504" s="143"/>
      <c r="D504" s="143"/>
      <c r="E504" s="143"/>
      <c r="F504" s="143"/>
      <c r="G504" s="143"/>
      <c r="H504" s="143"/>
      <c r="I504" s="143"/>
      <c r="J504" s="143"/>
      <c r="K504" s="143"/>
      <c r="L504" s="144"/>
      <c r="M504" s="143"/>
      <c r="N504" s="145"/>
      <c r="O504" s="146"/>
      <c r="P504" s="144"/>
      <c r="Q504" s="147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  <c r="AC504" s="148"/>
      <c r="AD504" s="149"/>
      <c r="AE504" s="150"/>
      <c r="AF504" s="151"/>
      <c r="AG504" s="152"/>
      <c r="AH504" s="149"/>
    </row>
    <row r="505" customFormat="false" ht="12" hidden="false" customHeight="false" outlineLevel="0" collapsed="false">
      <c r="A505" s="134"/>
      <c r="B505" s="135"/>
      <c r="C505" s="143"/>
      <c r="D505" s="143"/>
      <c r="E505" s="143"/>
      <c r="F505" s="143"/>
      <c r="G505" s="143"/>
      <c r="H505" s="143"/>
      <c r="I505" s="143"/>
      <c r="J505" s="143"/>
      <c r="K505" s="143"/>
      <c r="L505" s="144"/>
      <c r="M505" s="143"/>
      <c r="N505" s="145"/>
      <c r="O505" s="146"/>
      <c r="P505" s="144"/>
      <c r="Q505" s="147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  <c r="AC505" s="148"/>
      <c r="AD505" s="149"/>
      <c r="AE505" s="150"/>
      <c r="AF505" s="151"/>
      <c r="AG505" s="152"/>
      <c r="AH505" s="149"/>
    </row>
    <row r="506" customFormat="false" ht="12" hidden="false" customHeight="false" outlineLevel="0" collapsed="false">
      <c r="A506" s="134"/>
      <c r="B506" s="135"/>
      <c r="C506" s="143"/>
      <c r="D506" s="143"/>
      <c r="E506" s="143"/>
      <c r="F506" s="143"/>
      <c r="G506" s="143"/>
      <c r="H506" s="143"/>
      <c r="I506" s="143"/>
      <c r="J506" s="143"/>
      <c r="K506" s="143"/>
      <c r="L506" s="144"/>
      <c r="M506" s="143"/>
      <c r="N506" s="145"/>
      <c r="O506" s="146"/>
      <c r="P506" s="144"/>
      <c r="Q506" s="147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  <c r="AC506" s="148"/>
      <c r="AD506" s="149"/>
      <c r="AE506" s="150"/>
      <c r="AF506" s="151"/>
      <c r="AG506" s="152"/>
      <c r="AH506" s="149"/>
    </row>
    <row r="507" customFormat="false" ht="12" hidden="false" customHeight="false" outlineLevel="0" collapsed="false">
      <c r="A507" s="134"/>
      <c r="B507" s="135"/>
      <c r="C507" s="143"/>
      <c r="D507" s="143"/>
      <c r="E507" s="143"/>
      <c r="F507" s="143"/>
      <c r="G507" s="143"/>
      <c r="H507" s="143"/>
      <c r="I507" s="143"/>
      <c r="J507" s="143"/>
      <c r="K507" s="143"/>
      <c r="L507" s="144"/>
      <c r="M507" s="143"/>
      <c r="N507" s="145"/>
      <c r="O507" s="146"/>
      <c r="P507" s="144"/>
      <c r="Q507" s="147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  <c r="AC507" s="148"/>
      <c r="AD507" s="149"/>
      <c r="AE507" s="150"/>
      <c r="AF507" s="151"/>
      <c r="AG507" s="152"/>
      <c r="AH507" s="149"/>
    </row>
    <row r="508" customFormat="false" ht="12" hidden="false" customHeight="false" outlineLevel="0" collapsed="false">
      <c r="A508" s="134"/>
      <c r="B508" s="135"/>
      <c r="C508" s="143"/>
      <c r="D508" s="143"/>
      <c r="E508" s="143"/>
      <c r="F508" s="143"/>
      <c r="G508" s="143"/>
      <c r="H508" s="143"/>
      <c r="I508" s="143"/>
      <c r="J508" s="143"/>
      <c r="K508" s="143"/>
      <c r="L508" s="144"/>
      <c r="M508" s="143"/>
      <c r="N508" s="145"/>
      <c r="O508" s="146"/>
      <c r="P508" s="144"/>
      <c r="Q508" s="147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  <c r="AC508" s="148"/>
      <c r="AD508" s="149"/>
      <c r="AE508" s="150"/>
      <c r="AF508" s="151"/>
      <c r="AG508" s="152"/>
      <c r="AH508" s="149"/>
    </row>
    <row r="509" customFormat="false" ht="12" hidden="false" customHeight="false" outlineLevel="0" collapsed="false">
      <c r="A509" s="134"/>
      <c r="B509" s="135"/>
      <c r="C509" s="143"/>
      <c r="D509" s="143"/>
      <c r="E509" s="143"/>
      <c r="F509" s="143"/>
      <c r="G509" s="143"/>
      <c r="H509" s="143"/>
      <c r="I509" s="143"/>
      <c r="J509" s="143"/>
      <c r="K509" s="143"/>
      <c r="L509" s="144"/>
      <c r="M509" s="143"/>
      <c r="N509" s="145"/>
      <c r="O509" s="146"/>
      <c r="P509" s="144"/>
      <c r="Q509" s="147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  <c r="AC509" s="148"/>
      <c r="AD509" s="149"/>
      <c r="AE509" s="150"/>
      <c r="AF509" s="151"/>
      <c r="AG509" s="152"/>
      <c r="AH509" s="149"/>
    </row>
    <row r="510" customFormat="false" ht="12" hidden="false" customHeight="false" outlineLevel="0" collapsed="false">
      <c r="A510" s="134"/>
      <c r="B510" s="135"/>
      <c r="C510" s="143"/>
      <c r="D510" s="143"/>
      <c r="E510" s="143"/>
      <c r="F510" s="143"/>
      <c r="G510" s="143"/>
      <c r="H510" s="143"/>
      <c r="I510" s="143"/>
      <c r="J510" s="143"/>
      <c r="K510" s="143"/>
      <c r="L510" s="144"/>
      <c r="M510" s="143"/>
      <c r="N510" s="145"/>
      <c r="O510" s="146"/>
      <c r="P510" s="144"/>
      <c r="Q510" s="147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  <c r="AC510" s="148"/>
      <c r="AD510" s="149"/>
      <c r="AE510" s="150"/>
      <c r="AF510" s="151"/>
      <c r="AG510" s="152"/>
      <c r="AH510" s="149"/>
    </row>
    <row r="511" customFormat="false" ht="12" hidden="false" customHeight="false" outlineLevel="0" collapsed="false">
      <c r="A511" s="134"/>
      <c r="B511" s="135"/>
      <c r="C511" s="143"/>
      <c r="D511" s="143"/>
      <c r="E511" s="143"/>
      <c r="F511" s="143"/>
      <c r="G511" s="143"/>
      <c r="H511" s="143"/>
      <c r="I511" s="143"/>
      <c r="J511" s="143"/>
      <c r="K511" s="143"/>
      <c r="L511" s="144"/>
      <c r="M511" s="143"/>
      <c r="N511" s="145"/>
      <c r="O511" s="146"/>
      <c r="P511" s="144"/>
      <c r="Q511" s="147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  <c r="AC511" s="148"/>
      <c r="AD511" s="149"/>
      <c r="AE511" s="150"/>
      <c r="AF511" s="151"/>
      <c r="AG511" s="152"/>
      <c r="AH511" s="149"/>
    </row>
    <row r="512" customFormat="false" ht="12" hidden="false" customHeight="false" outlineLevel="0" collapsed="false">
      <c r="A512" s="134"/>
      <c r="B512" s="135"/>
      <c r="C512" s="143"/>
      <c r="D512" s="143"/>
      <c r="E512" s="143"/>
      <c r="F512" s="143"/>
      <c r="G512" s="143"/>
      <c r="H512" s="143"/>
      <c r="I512" s="143"/>
      <c r="J512" s="143"/>
      <c r="K512" s="143"/>
      <c r="L512" s="144"/>
      <c r="M512" s="143"/>
      <c r="N512" s="145"/>
      <c r="O512" s="146"/>
      <c r="P512" s="144"/>
      <c r="Q512" s="147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  <c r="AC512" s="148"/>
      <c r="AD512" s="149"/>
      <c r="AE512" s="150"/>
      <c r="AF512" s="151"/>
      <c r="AG512" s="152"/>
      <c r="AH512" s="149"/>
    </row>
    <row r="513" customFormat="false" ht="12" hidden="false" customHeight="false" outlineLevel="0" collapsed="false">
      <c r="A513" s="134"/>
      <c r="B513" s="135"/>
      <c r="C513" s="143"/>
      <c r="D513" s="143"/>
      <c r="E513" s="143"/>
      <c r="F513" s="143"/>
      <c r="G513" s="143"/>
      <c r="H513" s="143"/>
      <c r="I513" s="143"/>
      <c r="J513" s="143"/>
      <c r="K513" s="143"/>
      <c r="L513" s="144"/>
      <c r="M513" s="143"/>
      <c r="N513" s="145"/>
      <c r="O513" s="146"/>
      <c r="P513" s="144"/>
      <c r="Q513" s="147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  <c r="AC513" s="148"/>
      <c r="AD513" s="149"/>
      <c r="AE513" s="150"/>
      <c r="AF513" s="151"/>
      <c r="AG513" s="152"/>
      <c r="AH513" s="149"/>
    </row>
    <row r="514" customFormat="false" ht="12" hidden="false" customHeight="false" outlineLevel="0" collapsed="false">
      <c r="A514" s="134"/>
      <c r="B514" s="135"/>
      <c r="C514" s="143"/>
      <c r="D514" s="143"/>
      <c r="E514" s="143"/>
      <c r="F514" s="143"/>
      <c r="G514" s="143"/>
      <c r="H514" s="143"/>
      <c r="I514" s="143"/>
      <c r="J514" s="143"/>
      <c r="K514" s="143"/>
      <c r="L514" s="144"/>
      <c r="M514" s="143"/>
      <c r="N514" s="145"/>
      <c r="O514" s="146"/>
      <c r="P514" s="144"/>
      <c r="Q514" s="147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  <c r="AC514" s="148"/>
      <c r="AD514" s="149"/>
      <c r="AE514" s="150"/>
      <c r="AF514" s="151"/>
      <c r="AG514" s="152"/>
      <c r="AH514" s="149"/>
    </row>
    <row r="515" customFormat="false" ht="12" hidden="false" customHeight="false" outlineLevel="0" collapsed="false">
      <c r="A515" s="134"/>
      <c r="B515" s="135"/>
      <c r="C515" s="143"/>
      <c r="D515" s="143"/>
      <c r="E515" s="143"/>
      <c r="F515" s="143"/>
      <c r="G515" s="143"/>
      <c r="H515" s="143"/>
      <c r="I515" s="143"/>
      <c r="J515" s="143"/>
      <c r="K515" s="143"/>
      <c r="L515" s="144"/>
      <c r="M515" s="143"/>
      <c r="N515" s="145"/>
      <c r="O515" s="146"/>
      <c r="P515" s="144"/>
      <c r="Q515" s="147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  <c r="AC515" s="148"/>
      <c r="AD515" s="149"/>
      <c r="AE515" s="150"/>
      <c r="AF515" s="151"/>
      <c r="AG515" s="152"/>
      <c r="AH515" s="149"/>
    </row>
    <row r="516" customFormat="false" ht="12" hidden="false" customHeight="false" outlineLevel="0" collapsed="false">
      <c r="A516" s="134"/>
      <c r="B516" s="135"/>
      <c r="C516" s="143"/>
      <c r="D516" s="143"/>
      <c r="E516" s="143"/>
      <c r="F516" s="143"/>
      <c r="G516" s="143"/>
      <c r="H516" s="143"/>
      <c r="I516" s="143"/>
      <c r="J516" s="143"/>
      <c r="K516" s="143"/>
      <c r="L516" s="144"/>
      <c r="M516" s="143"/>
      <c r="N516" s="145"/>
      <c r="O516" s="146"/>
      <c r="P516" s="144"/>
      <c r="Q516" s="147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  <c r="AC516" s="148"/>
      <c r="AD516" s="149"/>
      <c r="AE516" s="150"/>
      <c r="AF516" s="151"/>
      <c r="AG516" s="152"/>
      <c r="AH516" s="149"/>
    </row>
    <row r="517" customFormat="false" ht="12" hidden="false" customHeight="false" outlineLevel="0" collapsed="false">
      <c r="A517" s="134"/>
      <c r="B517" s="135"/>
      <c r="C517" s="143"/>
      <c r="D517" s="143"/>
      <c r="E517" s="143"/>
      <c r="F517" s="143"/>
      <c r="G517" s="143"/>
      <c r="H517" s="143"/>
      <c r="I517" s="143"/>
      <c r="J517" s="143"/>
      <c r="K517" s="143"/>
      <c r="L517" s="144"/>
      <c r="M517" s="143"/>
      <c r="N517" s="145"/>
      <c r="O517" s="146"/>
      <c r="P517" s="144"/>
      <c r="Q517" s="147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  <c r="AC517" s="148"/>
      <c r="AD517" s="149"/>
      <c r="AE517" s="150"/>
      <c r="AF517" s="151"/>
      <c r="AG517" s="152"/>
      <c r="AH517" s="149"/>
    </row>
    <row r="518" customFormat="false" ht="12" hidden="false" customHeight="false" outlineLevel="0" collapsed="false">
      <c r="A518" s="134"/>
      <c r="B518" s="135"/>
      <c r="C518" s="143"/>
      <c r="D518" s="143"/>
      <c r="E518" s="143"/>
      <c r="F518" s="143"/>
      <c r="G518" s="143"/>
      <c r="H518" s="143"/>
      <c r="I518" s="143"/>
      <c r="J518" s="143"/>
      <c r="K518" s="143"/>
      <c r="L518" s="144"/>
      <c r="M518" s="143"/>
      <c r="N518" s="145"/>
      <c r="O518" s="146"/>
      <c r="P518" s="144"/>
      <c r="Q518" s="147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  <c r="AC518" s="148"/>
      <c r="AD518" s="149"/>
      <c r="AE518" s="150"/>
      <c r="AF518" s="151"/>
      <c r="AG518" s="152"/>
      <c r="AH518" s="149"/>
    </row>
    <row r="519" customFormat="false" ht="12" hidden="false" customHeight="false" outlineLevel="0" collapsed="false">
      <c r="A519" s="134"/>
      <c r="B519" s="135"/>
      <c r="C519" s="143"/>
      <c r="D519" s="143"/>
      <c r="E519" s="143"/>
      <c r="F519" s="143"/>
      <c r="G519" s="143"/>
      <c r="H519" s="143"/>
      <c r="I519" s="143"/>
      <c r="J519" s="143"/>
      <c r="K519" s="143"/>
      <c r="L519" s="144"/>
      <c r="M519" s="143"/>
      <c r="N519" s="145"/>
      <c r="O519" s="146"/>
      <c r="P519" s="144"/>
      <c r="Q519" s="147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  <c r="AC519" s="148"/>
      <c r="AD519" s="149"/>
      <c r="AE519" s="150"/>
      <c r="AF519" s="151"/>
      <c r="AG519" s="152"/>
      <c r="AH519" s="149"/>
    </row>
    <row r="520" customFormat="false" ht="12" hidden="false" customHeight="false" outlineLevel="0" collapsed="false">
      <c r="A520" s="134"/>
      <c r="B520" s="135"/>
      <c r="C520" s="143"/>
      <c r="D520" s="143"/>
      <c r="E520" s="143"/>
      <c r="F520" s="143"/>
      <c r="G520" s="143"/>
      <c r="H520" s="143"/>
      <c r="I520" s="143"/>
      <c r="J520" s="143"/>
      <c r="K520" s="143"/>
      <c r="L520" s="144"/>
      <c r="M520" s="143"/>
      <c r="N520" s="145"/>
      <c r="O520" s="146"/>
      <c r="P520" s="144"/>
      <c r="Q520" s="147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  <c r="AC520" s="148"/>
      <c r="AD520" s="149"/>
      <c r="AE520" s="150"/>
      <c r="AF520" s="151"/>
      <c r="AG520" s="152"/>
      <c r="AH520" s="149"/>
    </row>
    <row r="521" customFormat="false" ht="12" hidden="false" customHeight="false" outlineLevel="0" collapsed="false">
      <c r="A521" s="134"/>
      <c r="B521" s="135"/>
      <c r="C521" s="143"/>
      <c r="D521" s="143"/>
      <c r="E521" s="143"/>
      <c r="F521" s="143"/>
      <c r="G521" s="143"/>
      <c r="H521" s="143"/>
      <c r="I521" s="143"/>
      <c r="J521" s="143"/>
      <c r="K521" s="143"/>
      <c r="L521" s="144"/>
      <c r="M521" s="143"/>
      <c r="N521" s="145"/>
      <c r="O521" s="146"/>
      <c r="P521" s="144"/>
      <c r="Q521" s="147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  <c r="AC521" s="148"/>
      <c r="AD521" s="149"/>
      <c r="AE521" s="150"/>
      <c r="AF521" s="151"/>
      <c r="AG521" s="152"/>
      <c r="AH521" s="149"/>
    </row>
    <row r="522" customFormat="false" ht="12" hidden="false" customHeight="false" outlineLevel="0" collapsed="false">
      <c r="A522" s="134"/>
      <c r="B522" s="135"/>
      <c r="C522" s="143"/>
      <c r="D522" s="143"/>
      <c r="E522" s="143"/>
      <c r="F522" s="143"/>
      <c r="G522" s="143"/>
      <c r="H522" s="143"/>
      <c r="I522" s="143"/>
      <c r="J522" s="143"/>
      <c r="K522" s="143"/>
      <c r="L522" s="144"/>
      <c r="M522" s="143"/>
      <c r="N522" s="145"/>
      <c r="O522" s="146"/>
      <c r="P522" s="144"/>
      <c r="Q522" s="147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  <c r="AC522" s="148"/>
      <c r="AD522" s="149"/>
      <c r="AE522" s="150"/>
      <c r="AF522" s="151"/>
      <c r="AG522" s="152"/>
      <c r="AH522" s="149"/>
    </row>
    <row r="523" customFormat="false" ht="12" hidden="false" customHeight="false" outlineLevel="0" collapsed="false">
      <c r="A523" s="134"/>
      <c r="B523" s="135"/>
      <c r="C523" s="143"/>
      <c r="D523" s="143"/>
      <c r="E523" s="143"/>
      <c r="F523" s="143"/>
      <c r="G523" s="143"/>
      <c r="H523" s="143"/>
      <c r="I523" s="143"/>
      <c r="J523" s="143"/>
      <c r="K523" s="143"/>
      <c r="L523" s="144"/>
      <c r="M523" s="143"/>
      <c r="N523" s="145"/>
      <c r="O523" s="146"/>
      <c r="P523" s="144"/>
      <c r="Q523" s="147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  <c r="AC523" s="148"/>
      <c r="AD523" s="149"/>
      <c r="AE523" s="150"/>
      <c r="AF523" s="151"/>
      <c r="AG523" s="152"/>
      <c r="AH523" s="149"/>
    </row>
    <row r="524" customFormat="false" ht="12" hidden="false" customHeight="false" outlineLevel="0" collapsed="false">
      <c r="A524" s="134"/>
      <c r="B524" s="135"/>
      <c r="C524" s="143"/>
      <c r="D524" s="143"/>
      <c r="E524" s="143"/>
      <c r="F524" s="143"/>
      <c r="G524" s="143"/>
      <c r="H524" s="143"/>
      <c r="I524" s="143"/>
      <c r="J524" s="143"/>
      <c r="K524" s="143"/>
      <c r="L524" s="144"/>
      <c r="M524" s="143"/>
      <c r="N524" s="145"/>
      <c r="O524" s="146"/>
      <c r="P524" s="144"/>
      <c r="Q524" s="147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  <c r="AC524" s="148"/>
      <c r="AD524" s="149"/>
      <c r="AE524" s="150"/>
      <c r="AF524" s="151"/>
      <c r="AG524" s="152"/>
      <c r="AH524" s="149"/>
    </row>
    <row r="525" customFormat="false" ht="12" hidden="false" customHeight="false" outlineLevel="0" collapsed="false">
      <c r="A525" s="134"/>
      <c r="B525" s="135"/>
      <c r="C525" s="143"/>
      <c r="D525" s="143"/>
      <c r="E525" s="143"/>
      <c r="F525" s="143"/>
      <c r="G525" s="143"/>
      <c r="H525" s="143"/>
      <c r="I525" s="143"/>
      <c r="J525" s="143"/>
      <c r="K525" s="143"/>
      <c r="L525" s="144"/>
      <c r="M525" s="143"/>
      <c r="N525" s="145"/>
      <c r="O525" s="146"/>
      <c r="P525" s="144"/>
      <c r="Q525" s="147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  <c r="AC525" s="148"/>
      <c r="AD525" s="149"/>
      <c r="AE525" s="150"/>
      <c r="AF525" s="151"/>
      <c r="AG525" s="152"/>
      <c r="AH525" s="149"/>
    </row>
    <row r="526" customFormat="false" ht="12" hidden="false" customHeight="false" outlineLevel="0" collapsed="false">
      <c r="A526" s="134"/>
      <c r="B526" s="135"/>
      <c r="C526" s="143"/>
      <c r="D526" s="143"/>
      <c r="E526" s="143"/>
      <c r="F526" s="143"/>
      <c r="G526" s="143"/>
      <c r="H526" s="143"/>
      <c r="I526" s="143"/>
      <c r="J526" s="143"/>
      <c r="K526" s="143"/>
      <c r="L526" s="144"/>
      <c r="M526" s="143"/>
      <c r="N526" s="145"/>
      <c r="O526" s="146"/>
      <c r="P526" s="144"/>
      <c r="Q526" s="147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  <c r="AC526" s="148"/>
      <c r="AD526" s="149"/>
      <c r="AE526" s="150"/>
      <c r="AF526" s="151"/>
      <c r="AG526" s="152"/>
      <c r="AH526" s="149"/>
    </row>
    <row r="527" customFormat="false" ht="12" hidden="false" customHeight="false" outlineLevel="0" collapsed="false">
      <c r="A527" s="134"/>
      <c r="B527" s="135"/>
      <c r="C527" s="143"/>
      <c r="D527" s="143"/>
      <c r="E527" s="143"/>
      <c r="F527" s="143"/>
      <c r="G527" s="143"/>
      <c r="H527" s="143"/>
      <c r="I527" s="143"/>
      <c r="J527" s="143"/>
      <c r="K527" s="143"/>
      <c r="L527" s="144"/>
      <c r="M527" s="143"/>
      <c r="N527" s="145"/>
      <c r="O527" s="146"/>
      <c r="P527" s="144"/>
      <c r="Q527" s="147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  <c r="AC527" s="148"/>
      <c r="AD527" s="149"/>
      <c r="AE527" s="150"/>
      <c r="AF527" s="151"/>
      <c r="AG527" s="152"/>
      <c r="AH527" s="149"/>
    </row>
    <row r="528" customFormat="false" ht="12" hidden="false" customHeight="false" outlineLevel="0" collapsed="false">
      <c r="A528" s="134"/>
      <c r="B528" s="135"/>
      <c r="C528" s="143"/>
      <c r="D528" s="143"/>
      <c r="E528" s="143"/>
      <c r="F528" s="143"/>
      <c r="G528" s="143"/>
      <c r="H528" s="143"/>
      <c r="I528" s="143"/>
      <c r="J528" s="143"/>
      <c r="K528" s="143"/>
      <c r="L528" s="144"/>
      <c r="M528" s="143"/>
      <c r="N528" s="145"/>
      <c r="O528" s="146"/>
      <c r="P528" s="144"/>
      <c r="Q528" s="147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  <c r="AC528" s="148"/>
      <c r="AD528" s="149"/>
      <c r="AE528" s="150"/>
      <c r="AF528" s="151"/>
      <c r="AG528" s="152"/>
      <c r="AH528" s="149"/>
    </row>
    <row r="529" customFormat="false" ht="12" hidden="false" customHeight="false" outlineLevel="0" collapsed="false">
      <c r="A529" s="134"/>
      <c r="B529" s="135"/>
      <c r="C529" s="143"/>
      <c r="D529" s="143"/>
      <c r="E529" s="143"/>
      <c r="F529" s="143"/>
      <c r="G529" s="143"/>
      <c r="H529" s="143"/>
      <c r="I529" s="143"/>
      <c r="J529" s="143"/>
      <c r="K529" s="143"/>
      <c r="L529" s="144"/>
      <c r="M529" s="143"/>
      <c r="N529" s="145"/>
      <c r="O529" s="146"/>
      <c r="P529" s="144"/>
      <c r="Q529" s="147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  <c r="AC529" s="148"/>
      <c r="AD529" s="149"/>
      <c r="AE529" s="150"/>
      <c r="AF529" s="151"/>
      <c r="AG529" s="152"/>
      <c r="AH529" s="149"/>
    </row>
    <row r="530" customFormat="false" ht="12" hidden="false" customHeight="false" outlineLevel="0" collapsed="false">
      <c r="A530" s="134"/>
      <c r="B530" s="135"/>
      <c r="C530" s="143"/>
      <c r="D530" s="143"/>
      <c r="E530" s="143"/>
      <c r="F530" s="143"/>
      <c r="G530" s="143"/>
      <c r="H530" s="143"/>
      <c r="I530" s="143"/>
      <c r="J530" s="143"/>
      <c r="K530" s="143"/>
      <c r="L530" s="144"/>
      <c r="M530" s="143"/>
      <c r="N530" s="145"/>
      <c r="O530" s="146"/>
      <c r="P530" s="144"/>
      <c r="Q530" s="147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  <c r="AC530" s="148"/>
      <c r="AD530" s="149"/>
      <c r="AE530" s="150"/>
      <c r="AF530" s="151"/>
      <c r="AG530" s="152"/>
      <c r="AH530" s="149"/>
    </row>
    <row r="531" customFormat="false" ht="12" hidden="false" customHeight="false" outlineLevel="0" collapsed="false">
      <c r="A531" s="134"/>
      <c r="B531" s="135"/>
      <c r="C531" s="143"/>
      <c r="D531" s="143"/>
      <c r="E531" s="143"/>
      <c r="F531" s="143"/>
      <c r="G531" s="143"/>
      <c r="H531" s="143"/>
      <c r="I531" s="143"/>
      <c r="J531" s="143"/>
      <c r="K531" s="143"/>
      <c r="L531" s="144"/>
      <c r="M531" s="143"/>
      <c r="N531" s="145"/>
      <c r="O531" s="146"/>
      <c r="P531" s="144"/>
      <c r="Q531" s="147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  <c r="AC531" s="148"/>
      <c r="AD531" s="149"/>
      <c r="AE531" s="150"/>
      <c r="AF531" s="151"/>
      <c r="AG531" s="152"/>
      <c r="AH531" s="149"/>
    </row>
    <row r="532" customFormat="false" ht="12" hidden="false" customHeight="false" outlineLevel="0" collapsed="false">
      <c r="A532" s="134"/>
      <c r="B532" s="135"/>
      <c r="C532" s="143"/>
      <c r="D532" s="143"/>
      <c r="E532" s="143"/>
      <c r="F532" s="143"/>
      <c r="G532" s="143"/>
      <c r="H532" s="143"/>
      <c r="I532" s="143"/>
      <c r="J532" s="143"/>
      <c r="K532" s="143"/>
      <c r="L532" s="144"/>
      <c r="M532" s="143"/>
      <c r="N532" s="145"/>
      <c r="O532" s="146"/>
      <c r="P532" s="144"/>
      <c r="Q532" s="147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  <c r="AC532" s="148"/>
      <c r="AD532" s="149"/>
      <c r="AE532" s="150"/>
      <c r="AF532" s="151"/>
      <c r="AG532" s="152"/>
      <c r="AH532" s="149"/>
    </row>
    <row r="533" customFormat="false" ht="12" hidden="false" customHeight="false" outlineLevel="0" collapsed="false">
      <c r="A533" s="134"/>
      <c r="B533" s="135"/>
      <c r="C533" s="143"/>
      <c r="D533" s="143"/>
      <c r="E533" s="143"/>
      <c r="F533" s="143"/>
      <c r="G533" s="143"/>
      <c r="H533" s="143"/>
      <c r="I533" s="143"/>
      <c r="J533" s="143"/>
      <c r="K533" s="143"/>
      <c r="L533" s="144"/>
      <c r="M533" s="143"/>
      <c r="N533" s="145"/>
      <c r="O533" s="146"/>
      <c r="P533" s="144"/>
      <c r="Q533" s="147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  <c r="AC533" s="148"/>
      <c r="AD533" s="149"/>
      <c r="AE533" s="150"/>
      <c r="AF533" s="151"/>
      <c r="AG533" s="152"/>
      <c r="AH533" s="149"/>
    </row>
    <row r="534" customFormat="false" ht="12" hidden="false" customHeight="false" outlineLevel="0" collapsed="false">
      <c r="A534" s="134"/>
      <c r="B534" s="135"/>
      <c r="C534" s="143"/>
      <c r="D534" s="143"/>
      <c r="E534" s="143"/>
      <c r="F534" s="143"/>
      <c r="G534" s="143"/>
      <c r="H534" s="143"/>
      <c r="I534" s="143"/>
      <c r="J534" s="143"/>
      <c r="K534" s="143"/>
      <c r="L534" s="144"/>
      <c r="M534" s="143"/>
      <c r="N534" s="145"/>
      <c r="O534" s="146"/>
      <c r="P534" s="144"/>
      <c r="Q534" s="147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  <c r="AC534" s="148"/>
      <c r="AD534" s="149"/>
      <c r="AE534" s="150"/>
      <c r="AF534" s="151"/>
      <c r="AG534" s="152"/>
      <c r="AH534" s="149"/>
    </row>
    <row r="535" customFormat="false" ht="12" hidden="false" customHeight="false" outlineLevel="0" collapsed="false">
      <c r="A535" s="134"/>
      <c r="B535" s="135"/>
      <c r="C535" s="143"/>
      <c r="D535" s="143"/>
      <c r="E535" s="143"/>
      <c r="F535" s="143"/>
      <c r="G535" s="143"/>
      <c r="H535" s="143"/>
      <c r="I535" s="143"/>
      <c r="J535" s="143"/>
      <c r="K535" s="143"/>
      <c r="L535" s="144"/>
      <c r="M535" s="143"/>
      <c r="N535" s="145"/>
      <c r="O535" s="146"/>
      <c r="P535" s="144"/>
      <c r="Q535" s="147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  <c r="AC535" s="148"/>
      <c r="AD535" s="149"/>
      <c r="AE535" s="150"/>
      <c r="AF535" s="151"/>
      <c r="AG535" s="152"/>
      <c r="AH535" s="149"/>
    </row>
    <row r="536" customFormat="false" ht="12" hidden="false" customHeight="false" outlineLevel="0" collapsed="false">
      <c r="A536" s="134"/>
      <c r="B536" s="135"/>
      <c r="C536" s="143"/>
      <c r="D536" s="143"/>
      <c r="E536" s="143"/>
      <c r="F536" s="143"/>
      <c r="G536" s="143"/>
      <c r="H536" s="143"/>
      <c r="I536" s="143"/>
      <c r="J536" s="143"/>
      <c r="K536" s="143"/>
      <c r="L536" s="144"/>
      <c r="M536" s="143"/>
      <c r="N536" s="145"/>
      <c r="O536" s="146"/>
      <c r="P536" s="144"/>
      <c r="Q536" s="147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  <c r="AC536" s="148"/>
      <c r="AD536" s="149"/>
      <c r="AE536" s="150"/>
      <c r="AF536" s="151"/>
      <c r="AG536" s="152"/>
      <c r="AH536" s="149"/>
    </row>
    <row r="537" customFormat="false" ht="12" hidden="false" customHeight="false" outlineLevel="0" collapsed="false">
      <c r="A537" s="134"/>
      <c r="B537" s="135"/>
      <c r="C537" s="143"/>
      <c r="D537" s="143"/>
      <c r="E537" s="143"/>
      <c r="F537" s="143"/>
      <c r="G537" s="143"/>
      <c r="H537" s="143"/>
      <c r="I537" s="143"/>
      <c r="J537" s="143"/>
      <c r="K537" s="143"/>
      <c r="L537" s="144"/>
      <c r="M537" s="143"/>
      <c r="N537" s="145"/>
      <c r="O537" s="146"/>
      <c r="P537" s="144"/>
      <c r="Q537" s="147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  <c r="AC537" s="148"/>
      <c r="AD537" s="149"/>
      <c r="AE537" s="150"/>
      <c r="AF537" s="151"/>
      <c r="AG537" s="152"/>
      <c r="AH537" s="149"/>
    </row>
    <row r="538" customFormat="false" ht="12" hidden="false" customHeight="false" outlineLevel="0" collapsed="false">
      <c r="A538" s="134"/>
      <c r="B538" s="135"/>
      <c r="C538" s="143"/>
      <c r="D538" s="143"/>
      <c r="E538" s="143"/>
      <c r="F538" s="143"/>
      <c r="G538" s="143"/>
      <c r="H538" s="143"/>
      <c r="I538" s="143"/>
      <c r="J538" s="143"/>
      <c r="K538" s="143"/>
      <c r="L538" s="144"/>
      <c r="M538" s="143"/>
      <c r="N538" s="145"/>
      <c r="O538" s="146"/>
      <c r="P538" s="144"/>
      <c r="Q538" s="147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  <c r="AC538" s="148"/>
      <c r="AD538" s="149"/>
      <c r="AE538" s="150"/>
      <c r="AF538" s="151"/>
      <c r="AG538" s="152"/>
      <c r="AH538" s="149"/>
    </row>
    <row r="539" customFormat="false" ht="12" hidden="false" customHeight="false" outlineLevel="0" collapsed="false">
      <c r="A539" s="134"/>
      <c r="B539" s="135"/>
      <c r="C539" s="143"/>
      <c r="D539" s="143"/>
      <c r="E539" s="143"/>
      <c r="F539" s="143"/>
      <c r="G539" s="143"/>
      <c r="H539" s="143"/>
      <c r="I539" s="143"/>
      <c r="J539" s="143"/>
      <c r="K539" s="143"/>
      <c r="L539" s="144"/>
      <c r="M539" s="143"/>
      <c r="N539" s="145"/>
      <c r="O539" s="146"/>
      <c r="P539" s="144"/>
      <c r="Q539" s="147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  <c r="AC539" s="148"/>
      <c r="AD539" s="149"/>
      <c r="AE539" s="150"/>
      <c r="AF539" s="151"/>
      <c r="AG539" s="152"/>
      <c r="AH539" s="149"/>
    </row>
    <row r="540" customFormat="false" ht="12" hidden="false" customHeight="false" outlineLevel="0" collapsed="false">
      <c r="A540" s="134"/>
      <c r="B540" s="135"/>
      <c r="C540" s="143"/>
      <c r="D540" s="143"/>
      <c r="E540" s="143"/>
      <c r="F540" s="143"/>
      <c r="G540" s="143"/>
      <c r="H540" s="143"/>
      <c r="I540" s="143"/>
      <c r="J540" s="143"/>
      <c r="K540" s="143"/>
      <c r="L540" s="144"/>
      <c r="M540" s="143"/>
      <c r="N540" s="145"/>
      <c r="O540" s="146"/>
      <c r="P540" s="144"/>
      <c r="Q540" s="147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  <c r="AC540" s="148"/>
      <c r="AD540" s="149"/>
      <c r="AE540" s="150"/>
      <c r="AF540" s="151"/>
      <c r="AG540" s="152"/>
      <c r="AH540" s="149"/>
    </row>
    <row r="541" customFormat="false" ht="12" hidden="false" customHeight="false" outlineLevel="0" collapsed="false">
      <c r="A541" s="134"/>
      <c r="B541" s="135"/>
      <c r="C541" s="143"/>
      <c r="D541" s="143"/>
      <c r="E541" s="143"/>
      <c r="F541" s="143"/>
      <c r="G541" s="143"/>
      <c r="H541" s="143"/>
      <c r="I541" s="143"/>
      <c r="J541" s="143"/>
      <c r="K541" s="143"/>
      <c r="L541" s="144"/>
      <c r="M541" s="143"/>
      <c r="N541" s="145"/>
      <c r="O541" s="146"/>
      <c r="P541" s="144"/>
      <c r="Q541" s="147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  <c r="AC541" s="148"/>
      <c r="AD541" s="149"/>
      <c r="AE541" s="150"/>
      <c r="AF541" s="151"/>
      <c r="AG541" s="152"/>
      <c r="AH541" s="149"/>
    </row>
    <row r="542" customFormat="false" ht="12" hidden="false" customHeight="false" outlineLevel="0" collapsed="false">
      <c r="A542" s="134"/>
      <c r="B542" s="135"/>
      <c r="C542" s="143"/>
      <c r="D542" s="143"/>
      <c r="E542" s="143"/>
      <c r="F542" s="143"/>
      <c r="G542" s="143"/>
      <c r="H542" s="143"/>
      <c r="I542" s="143"/>
      <c r="J542" s="143"/>
      <c r="K542" s="143"/>
      <c r="L542" s="144"/>
      <c r="M542" s="143"/>
      <c r="N542" s="145"/>
      <c r="O542" s="146"/>
      <c r="P542" s="144"/>
      <c r="Q542" s="147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  <c r="AC542" s="148"/>
      <c r="AD542" s="149"/>
      <c r="AE542" s="150"/>
      <c r="AF542" s="151"/>
      <c r="AG542" s="152"/>
      <c r="AH542" s="149"/>
    </row>
    <row r="543" customFormat="false" ht="12" hidden="false" customHeight="false" outlineLevel="0" collapsed="false">
      <c r="A543" s="134"/>
      <c r="B543" s="135"/>
      <c r="C543" s="143"/>
      <c r="D543" s="143"/>
      <c r="E543" s="143"/>
      <c r="F543" s="143"/>
      <c r="G543" s="143"/>
      <c r="H543" s="143"/>
      <c r="I543" s="143"/>
      <c r="J543" s="143"/>
      <c r="K543" s="143"/>
      <c r="L543" s="144"/>
      <c r="M543" s="143"/>
      <c r="N543" s="145"/>
      <c r="O543" s="146"/>
      <c r="P543" s="144"/>
      <c r="Q543" s="147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  <c r="AC543" s="148"/>
      <c r="AD543" s="149"/>
      <c r="AE543" s="150"/>
      <c r="AF543" s="151"/>
      <c r="AG543" s="152"/>
      <c r="AH543" s="149"/>
    </row>
    <row r="544" customFormat="false" ht="12" hidden="false" customHeight="false" outlineLevel="0" collapsed="false">
      <c r="A544" s="134"/>
      <c r="B544" s="135"/>
      <c r="C544" s="143"/>
      <c r="D544" s="143"/>
      <c r="E544" s="143"/>
      <c r="F544" s="143"/>
      <c r="G544" s="143"/>
      <c r="H544" s="143"/>
      <c r="I544" s="143"/>
      <c r="J544" s="143"/>
      <c r="K544" s="143"/>
      <c r="L544" s="144"/>
      <c r="M544" s="143"/>
      <c r="N544" s="145"/>
      <c r="O544" s="146"/>
      <c r="P544" s="144"/>
      <c r="Q544" s="147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  <c r="AC544" s="148"/>
      <c r="AD544" s="149"/>
      <c r="AE544" s="150"/>
      <c r="AF544" s="151"/>
      <c r="AG544" s="152"/>
      <c r="AH544" s="149"/>
    </row>
    <row r="545" customFormat="false" ht="12" hidden="false" customHeight="false" outlineLevel="0" collapsed="false">
      <c r="A545" s="134"/>
      <c r="B545" s="135"/>
      <c r="C545" s="143"/>
      <c r="D545" s="143"/>
      <c r="E545" s="143"/>
      <c r="F545" s="143"/>
      <c r="G545" s="143"/>
      <c r="H545" s="143"/>
      <c r="I545" s="143"/>
      <c r="J545" s="143"/>
      <c r="K545" s="143"/>
      <c r="L545" s="144"/>
      <c r="M545" s="143"/>
      <c r="N545" s="145"/>
      <c r="O545" s="146"/>
      <c r="P545" s="144"/>
      <c r="Q545" s="147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  <c r="AC545" s="148"/>
      <c r="AD545" s="149"/>
      <c r="AE545" s="150"/>
      <c r="AF545" s="151"/>
      <c r="AG545" s="152"/>
      <c r="AH545" s="149"/>
    </row>
    <row r="546" customFormat="false" ht="12" hidden="false" customHeight="false" outlineLevel="0" collapsed="false">
      <c r="A546" s="134"/>
      <c r="B546" s="135"/>
      <c r="C546" s="143"/>
      <c r="D546" s="143"/>
      <c r="E546" s="143"/>
      <c r="F546" s="143"/>
      <c r="G546" s="143"/>
      <c r="H546" s="143"/>
      <c r="I546" s="143"/>
      <c r="J546" s="143"/>
      <c r="K546" s="143"/>
      <c r="L546" s="144"/>
      <c r="M546" s="143"/>
      <c r="N546" s="145"/>
      <c r="O546" s="146"/>
      <c r="P546" s="144"/>
      <c r="Q546" s="147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  <c r="AC546" s="148"/>
      <c r="AD546" s="149"/>
      <c r="AE546" s="150"/>
      <c r="AF546" s="151"/>
      <c r="AG546" s="152"/>
      <c r="AH546" s="149"/>
    </row>
    <row r="547" customFormat="false" ht="12" hidden="false" customHeight="false" outlineLevel="0" collapsed="false">
      <c r="A547" s="134"/>
      <c r="B547" s="135"/>
      <c r="C547" s="143"/>
      <c r="D547" s="143"/>
      <c r="E547" s="143"/>
      <c r="F547" s="143"/>
      <c r="G547" s="143"/>
      <c r="H547" s="143"/>
      <c r="I547" s="143"/>
      <c r="J547" s="143"/>
      <c r="K547" s="143"/>
      <c r="L547" s="144"/>
      <c r="M547" s="143"/>
      <c r="N547" s="145"/>
      <c r="O547" s="146"/>
      <c r="P547" s="144"/>
      <c r="Q547" s="147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  <c r="AC547" s="148"/>
      <c r="AD547" s="149"/>
      <c r="AE547" s="150"/>
      <c r="AF547" s="151"/>
      <c r="AG547" s="152"/>
      <c r="AH547" s="149"/>
    </row>
    <row r="548" customFormat="false" ht="12" hidden="false" customHeight="false" outlineLevel="0" collapsed="false">
      <c r="A548" s="134"/>
      <c r="B548" s="135"/>
      <c r="C548" s="143"/>
      <c r="D548" s="143"/>
      <c r="E548" s="143"/>
      <c r="F548" s="143"/>
      <c r="G548" s="143"/>
      <c r="H548" s="143"/>
      <c r="I548" s="143"/>
      <c r="J548" s="143"/>
      <c r="K548" s="143"/>
      <c r="L548" s="144"/>
      <c r="M548" s="143"/>
      <c r="N548" s="145"/>
      <c r="O548" s="146"/>
      <c r="P548" s="144"/>
      <c r="Q548" s="147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  <c r="AC548" s="148"/>
      <c r="AD548" s="149"/>
      <c r="AE548" s="150"/>
      <c r="AF548" s="151"/>
      <c r="AG548" s="152"/>
      <c r="AH548" s="149"/>
    </row>
    <row r="549" customFormat="false" ht="12" hidden="false" customHeight="false" outlineLevel="0" collapsed="false">
      <c r="A549" s="134"/>
      <c r="B549" s="135"/>
      <c r="C549" s="143"/>
      <c r="D549" s="143"/>
      <c r="E549" s="143"/>
      <c r="F549" s="143"/>
      <c r="G549" s="143"/>
      <c r="H549" s="143"/>
      <c r="I549" s="143"/>
      <c r="J549" s="143"/>
      <c r="K549" s="143"/>
      <c r="L549" s="144"/>
      <c r="M549" s="143"/>
      <c r="N549" s="145"/>
      <c r="O549" s="146"/>
      <c r="P549" s="144"/>
      <c r="Q549" s="147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  <c r="AD549" s="149"/>
      <c r="AE549" s="150"/>
      <c r="AF549" s="151"/>
      <c r="AG549" s="152"/>
      <c r="AH549" s="149"/>
    </row>
    <row r="550" customFormat="false" ht="12" hidden="false" customHeight="false" outlineLevel="0" collapsed="false">
      <c r="A550" s="134"/>
      <c r="B550" s="135"/>
      <c r="C550" s="143"/>
      <c r="D550" s="143"/>
      <c r="E550" s="143"/>
      <c r="F550" s="143"/>
      <c r="G550" s="143"/>
      <c r="H550" s="143"/>
      <c r="I550" s="143"/>
      <c r="J550" s="143"/>
      <c r="K550" s="143"/>
      <c r="L550" s="144"/>
      <c r="M550" s="143"/>
      <c r="N550" s="145"/>
      <c r="O550" s="146"/>
      <c r="P550" s="144"/>
      <c r="Q550" s="147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  <c r="AC550" s="148"/>
      <c r="AD550" s="149"/>
      <c r="AE550" s="150"/>
      <c r="AF550" s="151"/>
      <c r="AG550" s="152"/>
      <c r="AH550" s="149"/>
    </row>
    <row r="551" customFormat="false" ht="12" hidden="false" customHeight="false" outlineLevel="0" collapsed="false">
      <c r="A551" s="134"/>
      <c r="B551" s="135"/>
      <c r="C551" s="143"/>
      <c r="D551" s="143"/>
      <c r="E551" s="143"/>
      <c r="F551" s="143"/>
      <c r="G551" s="143"/>
      <c r="H551" s="143"/>
      <c r="I551" s="143"/>
      <c r="J551" s="143"/>
      <c r="K551" s="143"/>
      <c r="L551" s="144"/>
      <c r="M551" s="143"/>
      <c r="N551" s="145"/>
      <c r="O551" s="146"/>
      <c r="P551" s="144"/>
      <c r="Q551" s="147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  <c r="AC551" s="148"/>
      <c r="AD551" s="149"/>
      <c r="AE551" s="150"/>
      <c r="AF551" s="151"/>
      <c r="AG551" s="152"/>
      <c r="AH551" s="149"/>
    </row>
    <row r="552" customFormat="false" ht="12" hidden="false" customHeight="false" outlineLevel="0" collapsed="false">
      <c r="A552" s="134"/>
      <c r="B552" s="135"/>
      <c r="C552" s="143"/>
      <c r="D552" s="143"/>
      <c r="E552" s="143"/>
      <c r="F552" s="143"/>
      <c r="G552" s="143"/>
      <c r="H552" s="143"/>
      <c r="I552" s="143"/>
      <c r="J552" s="143"/>
      <c r="K552" s="143"/>
      <c r="L552" s="144"/>
      <c r="M552" s="143"/>
      <c r="N552" s="145"/>
      <c r="O552" s="146"/>
      <c r="P552" s="144"/>
      <c r="Q552" s="147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  <c r="AC552" s="148"/>
      <c r="AD552" s="149"/>
      <c r="AE552" s="150"/>
      <c r="AF552" s="151"/>
      <c r="AG552" s="152"/>
      <c r="AH552" s="149"/>
    </row>
    <row r="553" customFormat="false" ht="12" hidden="false" customHeight="false" outlineLevel="0" collapsed="false">
      <c r="A553" s="134"/>
      <c r="B553" s="135"/>
      <c r="C553" s="143"/>
      <c r="D553" s="143"/>
      <c r="E553" s="143"/>
      <c r="F553" s="143"/>
      <c r="G553" s="143"/>
      <c r="H553" s="143"/>
      <c r="I553" s="143"/>
      <c r="J553" s="143"/>
      <c r="K553" s="143"/>
      <c r="L553" s="144"/>
      <c r="M553" s="143"/>
      <c r="N553" s="145"/>
      <c r="O553" s="146"/>
      <c r="P553" s="144"/>
      <c r="Q553" s="147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  <c r="AC553" s="148"/>
      <c r="AD553" s="149"/>
      <c r="AE553" s="150"/>
      <c r="AF553" s="151"/>
      <c r="AG553" s="152"/>
      <c r="AH553" s="149"/>
    </row>
    <row r="554" customFormat="false" ht="12" hidden="false" customHeight="false" outlineLevel="0" collapsed="false">
      <c r="A554" s="134"/>
      <c r="B554" s="135"/>
      <c r="C554" s="143"/>
      <c r="D554" s="143"/>
      <c r="E554" s="143"/>
      <c r="F554" s="143"/>
      <c r="G554" s="143"/>
      <c r="H554" s="143"/>
      <c r="I554" s="143"/>
      <c r="J554" s="143"/>
      <c r="K554" s="143"/>
      <c r="L554" s="144"/>
      <c r="M554" s="143"/>
      <c r="N554" s="145"/>
      <c r="O554" s="146"/>
      <c r="P554" s="144"/>
      <c r="Q554" s="147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  <c r="AC554" s="148"/>
      <c r="AD554" s="149"/>
      <c r="AE554" s="150"/>
      <c r="AF554" s="151"/>
      <c r="AG554" s="152"/>
      <c r="AH554" s="149"/>
    </row>
    <row r="555" customFormat="false" ht="12" hidden="false" customHeight="false" outlineLevel="0" collapsed="false">
      <c r="A555" s="134"/>
      <c r="B555" s="135"/>
      <c r="C555" s="143"/>
      <c r="D555" s="143"/>
      <c r="E555" s="143"/>
      <c r="F555" s="143"/>
      <c r="G555" s="143"/>
      <c r="H555" s="143"/>
      <c r="I555" s="143"/>
      <c r="J555" s="143"/>
      <c r="K555" s="143"/>
      <c r="L555" s="144"/>
      <c r="M555" s="143"/>
      <c r="N555" s="145"/>
      <c r="O555" s="146"/>
      <c r="P555" s="144"/>
      <c r="Q555" s="147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  <c r="AC555" s="148"/>
      <c r="AD555" s="149"/>
      <c r="AE555" s="150"/>
      <c r="AF555" s="151"/>
      <c r="AG555" s="152"/>
      <c r="AH555" s="149"/>
    </row>
    <row r="556" customFormat="false" ht="12" hidden="false" customHeight="false" outlineLevel="0" collapsed="false">
      <c r="A556" s="134"/>
      <c r="B556" s="135"/>
      <c r="C556" s="143"/>
      <c r="D556" s="143"/>
      <c r="E556" s="143"/>
      <c r="F556" s="143"/>
      <c r="G556" s="143"/>
      <c r="H556" s="143"/>
      <c r="I556" s="143"/>
      <c r="J556" s="143"/>
      <c r="K556" s="143"/>
      <c r="L556" s="144"/>
      <c r="M556" s="143"/>
      <c r="N556" s="145"/>
      <c r="O556" s="146"/>
      <c r="P556" s="144"/>
      <c r="Q556" s="147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  <c r="AC556" s="148"/>
      <c r="AD556" s="149"/>
      <c r="AE556" s="150"/>
      <c r="AF556" s="151"/>
      <c r="AG556" s="152"/>
      <c r="AH556" s="149"/>
    </row>
    <row r="557" customFormat="false" ht="12" hidden="false" customHeight="false" outlineLevel="0" collapsed="false">
      <c r="A557" s="134"/>
      <c r="B557" s="135"/>
      <c r="C557" s="143"/>
      <c r="D557" s="143"/>
      <c r="E557" s="143"/>
      <c r="F557" s="143"/>
      <c r="G557" s="143"/>
      <c r="H557" s="143"/>
      <c r="I557" s="143"/>
      <c r="J557" s="143"/>
      <c r="K557" s="143"/>
      <c r="L557" s="144"/>
      <c r="M557" s="143"/>
      <c r="N557" s="145"/>
      <c r="O557" s="146"/>
      <c r="P557" s="144"/>
      <c r="Q557" s="147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  <c r="AC557" s="148"/>
      <c r="AD557" s="149"/>
      <c r="AE557" s="150"/>
      <c r="AF557" s="151"/>
      <c r="AG557" s="152"/>
      <c r="AH557" s="149"/>
    </row>
    <row r="558" customFormat="false" ht="12" hidden="false" customHeight="false" outlineLevel="0" collapsed="false">
      <c r="A558" s="134"/>
      <c r="B558" s="135"/>
      <c r="C558" s="143"/>
      <c r="D558" s="143"/>
      <c r="E558" s="143"/>
      <c r="F558" s="143"/>
      <c r="G558" s="143"/>
      <c r="H558" s="143"/>
      <c r="I558" s="143"/>
      <c r="J558" s="143"/>
      <c r="K558" s="143"/>
      <c r="L558" s="144"/>
      <c r="M558" s="143"/>
      <c r="N558" s="145"/>
      <c r="O558" s="146"/>
      <c r="P558" s="144"/>
      <c r="Q558" s="147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  <c r="AC558" s="148"/>
      <c r="AD558" s="149"/>
      <c r="AE558" s="150"/>
      <c r="AF558" s="151"/>
      <c r="AG558" s="152"/>
      <c r="AH558" s="149"/>
    </row>
    <row r="559" customFormat="false" ht="12" hidden="false" customHeight="false" outlineLevel="0" collapsed="false">
      <c r="A559" s="134"/>
      <c r="B559" s="135"/>
      <c r="C559" s="143"/>
      <c r="D559" s="143"/>
      <c r="E559" s="143"/>
      <c r="F559" s="143"/>
      <c r="G559" s="143"/>
      <c r="H559" s="143"/>
      <c r="I559" s="143"/>
      <c r="J559" s="143"/>
      <c r="K559" s="143"/>
      <c r="L559" s="144"/>
      <c r="M559" s="143"/>
      <c r="N559" s="145"/>
      <c r="O559" s="146"/>
      <c r="P559" s="144"/>
      <c r="Q559" s="147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  <c r="AC559" s="148"/>
      <c r="AD559" s="149"/>
      <c r="AE559" s="150"/>
      <c r="AF559" s="151"/>
      <c r="AG559" s="152"/>
      <c r="AH559" s="149"/>
    </row>
    <row r="560" customFormat="false" ht="12" hidden="false" customHeight="false" outlineLevel="0" collapsed="false">
      <c r="A560" s="134"/>
      <c r="B560" s="135"/>
      <c r="C560" s="143"/>
      <c r="D560" s="143"/>
      <c r="E560" s="143"/>
      <c r="F560" s="143"/>
      <c r="G560" s="143"/>
      <c r="H560" s="143"/>
      <c r="I560" s="143"/>
      <c r="J560" s="143"/>
      <c r="K560" s="143"/>
      <c r="L560" s="144"/>
      <c r="M560" s="143"/>
      <c r="N560" s="145"/>
      <c r="O560" s="146"/>
      <c r="P560" s="144"/>
      <c r="Q560" s="147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  <c r="AC560" s="148"/>
      <c r="AD560" s="149"/>
      <c r="AE560" s="150"/>
      <c r="AF560" s="151"/>
      <c r="AG560" s="152"/>
      <c r="AH560" s="149"/>
    </row>
    <row r="561" customFormat="false" ht="12" hidden="false" customHeight="false" outlineLevel="0" collapsed="false">
      <c r="A561" s="134"/>
      <c r="B561" s="135"/>
      <c r="C561" s="143"/>
      <c r="D561" s="143"/>
      <c r="E561" s="143"/>
      <c r="F561" s="143"/>
      <c r="G561" s="143"/>
      <c r="H561" s="143"/>
      <c r="I561" s="143"/>
      <c r="J561" s="143"/>
      <c r="K561" s="143"/>
      <c r="L561" s="144"/>
      <c r="M561" s="143"/>
      <c r="N561" s="145"/>
      <c r="O561" s="146"/>
      <c r="P561" s="144"/>
      <c r="Q561" s="147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  <c r="AC561" s="148"/>
      <c r="AD561" s="149"/>
      <c r="AE561" s="150"/>
      <c r="AF561" s="151"/>
      <c r="AG561" s="152"/>
      <c r="AH561" s="149"/>
    </row>
    <row r="562" customFormat="false" ht="12" hidden="false" customHeight="false" outlineLevel="0" collapsed="false">
      <c r="A562" s="134"/>
      <c r="B562" s="135"/>
      <c r="C562" s="143"/>
      <c r="D562" s="143"/>
      <c r="E562" s="143"/>
      <c r="F562" s="143"/>
      <c r="G562" s="143"/>
      <c r="H562" s="143"/>
      <c r="I562" s="143"/>
      <c r="J562" s="143"/>
      <c r="K562" s="143"/>
      <c r="L562" s="144"/>
      <c r="M562" s="143"/>
      <c r="N562" s="145"/>
      <c r="O562" s="146"/>
      <c r="P562" s="144"/>
      <c r="Q562" s="147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  <c r="AC562" s="148"/>
      <c r="AD562" s="149"/>
      <c r="AE562" s="150"/>
      <c r="AF562" s="151"/>
      <c r="AG562" s="152"/>
      <c r="AH562" s="149"/>
    </row>
    <row r="563" customFormat="false" ht="12" hidden="false" customHeight="false" outlineLevel="0" collapsed="false">
      <c r="A563" s="134"/>
      <c r="B563" s="135"/>
      <c r="C563" s="143"/>
      <c r="D563" s="143"/>
      <c r="E563" s="143"/>
      <c r="F563" s="143"/>
      <c r="G563" s="143"/>
      <c r="H563" s="143"/>
      <c r="I563" s="143"/>
      <c r="J563" s="143"/>
      <c r="K563" s="143"/>
      <c r="L563" s="144"/>
      <c r="M563" s="143"/>
      <c r="N563" s="145"/>
      <c r="O563" s="146"/>
      <c r="P563" s="144"/>
      <c r="Q563" s="147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  <c r="AC563" s="148"/>
      <c r="AD563" s="149"/>
      <c r="AE563" s="150"/>
      <c r="AF563" s="151"/>
      <c r="AG563" s="152"/>
      <c r="AH563" s="149"/>
    </row>
    <row r="564" customFormat="false" ht="12" hidden="false" customHeight="false" outlineLevel="0" collapsed="false">
      <c r="A564" s="134"/>
      <c r="B564" s="135"/>
      <c r="C564" s="143"/>
      <c r="D564" s="143"/>
      <c r="E564" s="143"/>
      <c r="F564" s="143"/>
      <c r="G564" s="143"/>
      <c r="H564" s="143"/>
      <c r="I564" s="143"/>
      <c r="J564" s="143"/>
      <c r="K564" s="143"/>
      <c r="L564" s="144"/>
      <c r="M564" s="143"/>
      <c r="N564" s="145"/>
      <c r="O564" s="146"/>
      <c r="P564" s="144"/>
      <c r="Q564" s="147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  <c r="AC564" s="148"/>
      <c r="AD564" s="149"/>
      <c r="AE564" s="150"/>
      <c r="AF564" s="151"/>
      <c r="AG564" s="152"/>
      <c r="AH564" s="149"/>
    </row>
    <row r="565" customFormat="false" ht="12" hidden="false" customHeight="false" outlineLevel="0" collapsed="false">
      <c r="A565" s="134"/>
      <c r="B565" s="135"/>
      <c r="C565" s="143"/>
      <c r="D565" s="143"/>
      <c r="E565" s="143"/>
      <c r="F565" s="143"/>
      <c r="G565" s="143"/>
      <c r="H565" s="143"/>
      <c r="I565" s="143"/>
      <c r="J565" s="143"/>
      <c r="K565" s="143"/>
      <c r="L565" s="144"/>
      <c r="M565" s="143"/>
      <c r="N565" s="145"/>
      <c r="O565" s="146"/>
      <c r="P565" s="144"/>
      <c r="Q565" s="147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  <c r="AC565" s="148"/>
      <c r="AD565" s="149"/>
      <c r="AE565" s="150"/>
      <c r="AF565" s="151"/>
      <c r="AG565" s="152"/>
      <c r="AH565" s="149"/>
    </row>
    <row r="566" customFormat="false" ht="12" hidden="false" customHeight="false" outlineLevel="0" collapsed="false">
      <c r="A566" s="134"/>
      <c r="B566" s="135"/>
      <c r="C566" s="143"/>
      <c r="D566" s="143"/>
      <c r="E566" s="143"/>
      <c r="F566" s="143"/>
      <c r="G566" s="143"/>
      <c r="H566" s="143"/>
      <c r="I566" s="143"/>
      <c r="J566" s="143"/>
      <c r="K566" s="143"/>
      <c r="L566" s="144"/>
      <c r="M566" s="143"/>
      <c r="N566" s="145"/>
      <c r="O566" s="146"/>
      <c r="P566" s="144"/>
      <c r="Q566" s="147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  <c r="AC566" s="148"/>
      <c r="AD566" s="149"/>
      <c r="AE566" s="150"/>
      <c r="AF566" s="151"/>
      <c r="AG566" s="152"/>
      <c r="AH566" s="149"/>
    </row>
    <row r="567" customFormat="false" ht="12" hidden="false" customHeight="false" outlineLevel="0" collapsed="false">
      <c r="A567" s="134"/>
      <c r="B567" s="135"/>
      <c r="C567" s="143"/>
      <c r="D567" s="143"/>
      <c r="E567" s="143"/>
      <c r="F567" s="143"/>
      <c r="G567" s="143"/>
      <c r="H567" s="143"/>
      <c r="I567" s="143"/>
      <c r="J567" s="143"/>
      <c r="K567" s="143"/>
      <c r="L567" s="144"/>
      <c r="M567" s="143"/>
      <c r="N567" s="145"/>
      <c r="O567" s="146"/>
      <c r="P567" s="144"/>
      <c r="Q567" s="147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  <c r="AC567" s="148"/>
      <c r="AD567" s="149"/>
      <c r="AE567" s="150"/>
      <c r="AF567" s="151"/>
      <c r="AG567" s="152"/>
      <c r="AH567" s="149"/>
    </row>
    <row r="568" customFormat="false" ht="12" hidden="false" customHeight="false" outlineLevel="0" collapsed="false">
      <c r="A568" s="134"/>
      <c r="B568" s="135"/>
      <c r="C568" s="143"/>
      <c r="D568" s="143"/>
      <c r="E568" s="143"/>
      <c r="F568" s="143"/>
      <c r="G568" s="143"/>
      <c r="H568" s="143"/>
      <c r="I568" s="143"/>
      <c r="J568" s="143"/>
      <c r="K568" s="143"/>
      <c r="L568" s="144"/>
      <c r="M568" s="143"/>
      <c r="N568" s="145"/>
      <c r="O568" s="146"/>
      <c r="P568" s="144"/>
      <c r="Q568" s="147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  <c r="AC568" s="148"/>
      <c r="AD568" s="149"/>
      <c r="AE568" s="150"/>
      <c r="AF568" s="151"/>
      <c r="AG568" s="152"/>
      <c r="AH568" s="149"/>
    </row>
    <row r="569" customFormat="false" ht="12" hidden="false" customHeight="false" outlineLevel="0" collapsed="false">
      <c r="A569" s="134"/>
      <c r="B569" s="135"/>
      <c r="C569" s="143"/>
      <c r="D569" s="143"/>
      <c r="E569" s="143"/>
      <c r="F569" s="143"/>
      <c r="G569" s="143"/>
      <c r="H569" s="143"/>
      <c r="I569" s="143"/>
      <c r="J569" s="143"/>
      <c r="K569" s="143"/>
      <c r="L569" s="144"/>
      <c r="M569" s="143"/>
      <c r="N569" s="145"/>
      <c r="O569" s="146"/>
      <c r="P569" s="144"/>
      <c r="Q569" s="147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  <c r="AC569" s="148"/>
      <c r="AD569" s="149"/>
      <c r="AE569" s="150"/>
      <c r="AF569" s="151"/>
      <c r="AG569" s="152"/>
      <c r="AH569" s="149"/>
    </row>
    <row r="570" customFormat="false" ht="12" hidden="false" customHeight="false" outlineLevel="0" collapsed="false">
      <c r="A570" s="134"/>
      <c r="B570" s="135"/>
      <c r="C570" s="143"/>
      <c r="D570" s="143"/>
      <c r="E570" s="143"/>
      <c r="F570" s="143"/>
      <c r="G570" s="143"/>
      <c r="H570" s="143"/>
      <c r="I570" s="143"/>
      <c r="J570" s="143"/>
      <c r="K570" s="143"/>
      <c r="L570" s="144"/>
      <c r="M570" s="143"/>
      <c r="N570" s="145"/>
      <c r="O570" s="146"/>
      <c r="P570" s="144"/>
      <c r="Q570" s="147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  <c r="AC570" s="148"/>
      <c r="AD570" s="149"/>
      <c r="AE570" s="150"/>
      <c r="AF570" s="151"/>
      <c r="AG570" s="152"/>
      <c r="AH570" s="149"/>
    </row>
    <row r="571" customFormat="false" ht="12" hidden="false" customHeight="false" outlineLevel="0" collapsed="false">
      <c r="A571" s="134"/>
      <c r="B571" s="135"/>
      <c r="C571" s="143"/>
      <c r="D571" s="143"/>
      <c r="E571" s="143"/>
      <c r="F571" s="143"/>
      <c r="G571" s="143"/>
      <c r="H571" s="143"/>
      <c r="I571" s="143"/>
      <c r="J571" s="143"/>
      <c r="K571" s="143"/>
      <c r="L571" s="144"/>
      <c r="M571" s="143"/>
      <c r="N571" s="145"/>
      <c r="O571" s="146"/>
      <c r="P571" s="144"/>
      <c r="Q571" s="147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  <c r="AC571" s="148"/>
      <c r="AD571" s="149"/>
      <c r="AE571" s="150"/>
      <c r="AF571" s="151"/>
      <c r="AG571" s="152"/>
      <c r="AH571" s="149"/>
    </row>
    <row r="572" customFormat="false" ht="12" hidden="false" customHeight="false" outlineLevel="0" collapsed="false">
      <c r="A572" s="134"/>
      <c r="B572" s="135"/>
      <c r="C572" s="143"/>
      <c r="D572" s="143"/>
      <c r="E572" s="143"/>
      <c r="F572" s="143"/>
      <c r="G572" s="143"/>
      <c r="H572" s="143"/>
      <c r="I572" s="143"/>
      <c r="J572" s="143"/>
      <c r="K572" s="143"/>
      <c r="L572" s="144"/>
      <c r="M572" s="143"/>
      <c r="N572" s="145"/>
      <c r="O572" s="146"/>
      <c r="P572" s="144"/>
      <c r="Q572" s="147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  <c r="AC572" s="148"/>
      <c r="AD572" s="149"/>
      <c r="AE572" s="150"/>
      <c r="AF572" s="151"/>
      <c r="AG572" s="152"/>
      <c r="AH572" s="149"/>
    </row>
    <row r="573" customFormat="false" ht="12" hidden="false" customHeight="false" outlineLevel="0" collapsed="false">
      <c r="A573" s="134"/>
      <c r="B573" s="135"/>
      <c r="C573" s="143"/>
      <c r="D573" s="143"/>
      <c r="E573" s="143"/>
      <c r="F573" s="143"/>
      <c r="G573" s="143"/>
      <c r="H573" s="143"/>
      <c r="I573" s="143"/>
      <c r="J573" s="143"/>
      <c r="K573" s="143"/>
      <c r="L573" s="144"/>
      <c r="M573" s="143"/>
      <c r="N573" s="145"/>
      <c r="O573" s="146"/>
      <c r="P573" s="144"/>
      <c r="Q573" s="147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  <c r="AC573" s="148"/>
      <c r="AD573" s="149"/>
      <c r="AE573" s="150"/>
      <c r="AF573" s="151"/>
      <c r="AG573" s="152"/>
      <c r="AH573" s="149"/>
    </row>
    <row r="574" customFormat="false" ht="12" hidden="false" customHeight="false" outlineLevel="0" collapsed="false">
      <c r="A574" s="134"/>
      <c r="B574" s="135"/>
      <c r="C574" s="143"/>
      <c r="D574" s="143"/>
      <c r="E574" s="143"/>
      <c r="F574" s="143"/>
      <c r="G574" s="143"/>
      <c r="H574" s="143"/>
      <c r="I574" s="143"/>
      <c r="J574" s="143"/>
      <c r="K574" s="143"/>
      <c r="L574" s="144"/>
      <c r="M574" s="143"/>
      <c r="N574" s="145"/>
      <c r="O574" s="146"/>
      <c r="P574" s="144"/>
      <c r="Q574" s="147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  <c r="AC574" s="148"/>
      <c r="AD574" s="149"/>
      <c r="AE574" s="150"/>
      <c r="AF574" s="151"/>
      <c r="AG574" s="152"/>
      <c r="AH574" s="149"/>
    </row>
    <row r="575" customFormat="false" ht="12" hidden="false" customHeight="false" outlineLevel="0" collapsed="false">
      <c r="A575" s="134"/>
      <c r="B575" s="135"/>
      <c r="C575" s="143"/>
      <c r="D575" s="143"/>
      <c r="E575" s="143"/>
      <c r="F575" s="143"/>
      <c r="G575" s="143"/>
      <c r="H575" s="143"/>
      <c r="I575" s="143"/>
      <c r="J575" s="143"/>
      <c r="K575" s="143"/>
      <c r="L575" s="144"/>
      <c r="M575" s="143"/>
      <c r="N575" s="145"/>
      <c r="O575" s="146"/>
      <c r="P575" s="144"/>
      <c r="Q575" s="147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  <c r="AC575" s="148"/>
      <c r="AD575" s="149"/>
      <c r="AE575" s="150"/>
      <c r="AF575" s="151"/>
      <c r="AG575" s="152"/>
      <c r="AH575" s="149"/>
    </row>
    <row r="576" customFormat="false" ht="12" hidden="false" customHeight="false" outlineLevel="0" collapsed="false">
      <c r="A576" s="134"/>
      <c r="B576" s="135"/>
      <c r="C576" s="143"/>
      <c r="D576" s="143"/>
      <c r="E576" s="143"/>
      <c r="F576" s="143"/>
      <c r="G576" s="143"/>
      <c r="H576" s="143"/>
      <c r="I576" s="143"/>
      <c r="J576" s="143"/>
      <c r="K576" s="143"/>
      <c r="L576" s="144"/>
      <c r="M576" s="143"/>
      <c r="N576" s="145"/>
      <c r="O576" s="146"/>
      <c r="P576" s="144"/>
      <c r="Q576" s="147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  <c r="AC576" s="148"/>
      <c r="AD576" s="149"/>
      <c r="AE576" s="150"/>
      <c r="AF576" s="151"/>
      <c r="AG576" s="152"/>
      <c r="AH576" s="149"/>
    </row>
    <row r="577" customFormat="false" ht="12" hidden="false" customHeight="false" outlineLevel="0" collapsed="false">
      <c r="A577" s="134"/>
      <c r="B577" s="135"/>
      <c r="C577" s="143"/>
      <c r="D577" s="143"/>
      <c r="E577" s="143"/>
      <c r="F577" s="143"/>
      <c r="G577" s="143"/>
      <c r="H577" s="143"/>
      <c r="I577" s="143"/>
      <c r="J577" s="143"/>
      <c r="K577" s="143"/>
      <c r="L577" s="144"/>
      <c r="M577" s="143"/>
      <c r="N577" s="145"/>
      <c r="O577" s="146"/>
      <c r="P577" s="144"/>
      <c r="Q577" s="147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  <c r="AC577" s="148"/>
      <c r="AD577" s="149"/>
      <c r="AE577" s="150"/>
      <c r="AF577" s="151"/>
      <c r="AG577" s="152"/>
      <c r="AH577" s="149"/>
    </row>
    <row r="578" customFormat="false" ht="12" hidden="false" customHeight="false" outlineLevel="0" collapsed="false">
      <c r="A578" s="134"/>
      <c r="B578" s="135"/>
      <c r="C578" s="143"/>
      <c r="D578" s="143"/>
      <c r="E578" s="143"/>
      <c r="F578" s="143"/>
      <c r="G578" s="143"/>
      <c r="H578" s="143"/>
      <c r="I578" s="143"/>
      <c r="J578" s="143"/>
      <c r="K578" s="143"/>
      <c r="L578" s="144"/>
      <c r="M578" s="143"/>
      <c r="N578" s="145"/>
      <c r="O578" s="146"/>
      <c r="P578" s="144"/>
      <c r="Q578" s="147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  <c r="AC578" s="148"/>
      <c r="AD578" s="149"/>
      <c r="AE578" s="150"/>
      <c r="AF578" s="151"/>
      <c r="AG578" s="152"/>
      <c r="AH578" s="149"/>
    </row>
    <row r="579" customFormat="false" ht="12" hidden="false" customHeight="false" outlineLevel="0" collapsed="false">
      <c r="A579" s="134"/>
      <c r="B579" s="135"/>
      <c r="C579" s="143"/>
      <c r="D579" s="143"/>
      <c r="E579" s="143"/>
      <c r="F579" s="143"/>
      <c r="G579" s="143"/>
      <c r="H579" s="143"/>
      <c r="I579" s="143"/>
      <c r="J579" s="143"/>
      <c r="K579" s="143"/>
      <c r="L579" s="144"/>
      <c r="M579" s="143"/>
      <c r="N579" s="145"/>
      <c r="O579" s="146"/>
      <c r="P579" s="144"/>
      <c r="Q579" s="147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  <c r="AC579" s="148"/>
      <c r="AD579" s="149"/>
      <c r="AE579" s="150"/>
      <c r="AF579" s="151"/>
      <c r="AG579" s="152"/>
      <c r="AH579" s="149"/>
    </row>
    <row r="580" customFormat="false" ht="12" hidden="false" customHeight="false" outlineLevel="0" collapsed="false">
      <c r="A580" s="134"/>
      <c r="B580" s="135"/>
      <c r="C580" s="143"/>
      <c r="D580" s="143"/>
      <c r="E580" s="143"/>
      <c r="F580" s="143"/>
      <c r="G580" s="143"/>
      <c r="H580" s="143"/>
      <c r="I580" s="143"/>
      <c r="J580" s="143"/>
      <c r="K580" s="143"/>
      <c r="L580" s="144"/>
      <c r="M580" s="143"/>
      <c r="N580" s="145"/>
      <c r="O580" s="146"/>
      <c r="P580" s="144"/>
      <c r="Q580" s="147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  <c r="AC580" s="148"/>
      <c r="AD580" s="149"/>
      <c r="AE580" s="150"/>
      <c r="AF580" s="151"/>
      <c r="AG580" s="152"/>
      <c r="AH580" s="149"/>
    </row>
    <row r="581" customFormat="false" ht="12" hidden="false" customHeight="false" outlineLevel="0" collapsed="false">
      <c r="A581" s="134"/>
      <c r="B581" s="135"/>
      <c r="C581" s="143"/>
      <c r="D581" s="143"/>
      <c r="E581" s="143"/>
      <c r="F581" s="143"/>
      <c r="G581" s="143"/>
      <c r="H581" s="143"/>
      <c r="I581" s="143"/>
      <c r="J581" s="143"/>
      <c r="K581" s="143"/>
      <c r="L581" s="144"/>
      <c r="M581" s="143"/>
      <c r="N581" s="145"/>
      <c r="O581" s="146"/>
      <c r="P581" s="144"/>
      <c r="Q581" s="147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  <c r="AC581" s="148"/>
      <c r="AD581" s="149"/>
      <c r="AE581" s="150"/>
      <c r="AF581" s="151"/>
      <c r="AG581" s="152"/>
      <c r="AH581" s="149"/>
    </row>
    <row r="582" customFormat="false" ht="12" hidden="false" customHeight="false" outlineLevel="0" collapsed="false">
      <c r="A582" s="134"/>
      <c r="B582" s="135"/>
      <c r="C582" s="143"/>
      <c r="D582" s="143"/>
      <c r="E582" s="143"/>
      <c r="F582" s="143"/>
      <c r="G582" s="143"/>
      <c r="H582" s="143"/>
      <c r="I582" s="143"/>
      <c r="J582" s="143"/>
      <c r="K582" s="143"/>
      <c r="L582" s="144"/>
      <c r="M582" s="143"/>
      <c r="N582" s="145"/>
      <c r="O582" s="146"/>
      <c r="P582" s="144"/>
      <c r="Q582" s="147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  <c r="AC582" s="148"/>
      <c r="AD582" s="149"/>
      <c r="AE582" s="150"/>
      <c r="AF582" s="151"/>
      <c r="AG582" s="152"/>
      <c r="AH582" s="149"/>
    </row>
    <row r="583" customFormat="false" ht="12" hidden="false" customHeight="false" outlineLevel="0" collapsed="false">
      <c r="A583" s="134"/>
      <c r="B583" s="135"/>
      <c r="C583" s="143"/>
      <c r="D583" s="143"/>
      <c r="E583" s="143"/>
      <c r="F583" s="143"/>
      <c r="G583" s="143"/>
      <c r="H583" s="143"/>
      <c r="I583" s="143"/>
      <c r="J583" s="143"/>
      <c r="K583" s="143"/>
      <c r="L583" s="144"/>
      <c r="M583" s="143"/>
      <c r="N583" s="145"/>
      <c r="O583" s="146"/>
      <c r="P583" s="144"/>
      <c r="Q583" s="147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  <c r="AC583" s="148"/>
      <c r="AD583" s="149"/>
      <c r="AE583" s="150"/>
      <c r="AF583" s="151"/>
      <c r="AG583" s="152"/>
      <c r="AH583" s="149"/>
    </row>
    <row r="584" customFormat="false" ht="12" hidden="false" customHeight="false" outlineLevel="0" collapsed="false">
      <c r="A584" s="134"/>
      <c r="B584" s="135"/>
      <c r="C584" s="143"/>
      <c r="D584" s="143"/>
      <c r="E584" s="143"/>
      <c r="F584" s="143"/>
      <c r="G584" s="143"/>
      <c r="H584" s="143"/>
      <c r="I584" s="143"/>
      <c r="J584" s="143"/>
      <c r="K584" s="143"/>
      <c r="L584" s="144"/>
      <c r="M584" s="143"/>
      <c r="N584" s="145"/>
      <c r="O584" s="146"/>
      <c r="P584" s="144"/>
      <c r="Q584" s="147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  <c r="AC584" s="148"/>
      <c r="AD584" s="149"/>
      <c r="AE584" s="150"/>
      <c r="AF584" s="151"/>
      <c r="AG584" s="152"/>
      <c r="AH584" s="149"/>
    </row>
    <row r="585" customFormat="false" ht="12" hidden="false" customHeight="false" outlineLevel="0" collapsed="false">
      <c r="A585" s="134"/>
      <c r="B585" s="135"/>
      <c r="C585" s="143"/>
      <c r="D585" s="143"/>
      <c r="E585" s="143"/>
      <c r="F585" s="143"/>
      <c r="G585" s="143"/>
      <c r="H585" s="143"/>
      <c r="I585" s="143"/>
      <c r="J585" s="143"/>
      <c r="K585" s="143"/>
      <c r="L585" s="144"/>
      <c r="M585" s="143"/>
      <c r="N585" s="145"/>
      <c r="O585" s="146"/>
      <c r="P585" s="144"/>
      <c r="Q585" s="147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  <c r="AC585" s="148"/>
      <c r="AD585" s="149"/>
      <c r="AE585" s="150"/>
      <c r="AF585" s="151"/>
      <c r="AG585" s="152"/>
      <c r="AH585" s="149"/>
    </row>
    <row r="586" customFormat="false" ht="12" hidden="false" customHeight="false" outlineLevel="0" collapsed="false">
      <c r="A586" s="134"/>
      <c r="B586" s="135"/>
      <c r="C586" s="143"/>
      <c r="D586" s="143"/>
      <c r="E586" s="143"/>
      <c r="F586" s="143"/>
      <c r="G586" s="143"/>
      <c r="H586" s="143"/>
      <c r="I586" s="143"/>
      <c r="J586" s="143"/>
      <c r="K586" s="143"/>
      <c r="L586" s="144"/>
      <c r="M586" s="143"/>
      <c r="N586" s="145"/>
      <c r="O586" s="146"/>
      <c r="P586" s="144"/>
      <c r="Q586" s="147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  <c r="AC586" s="148"/>
      <c r="AD586" s="149"/>
      <c r="AE586" s="150"/>
      <c r="AF586" s="151"/>
      <c r="AG586" s="152"/>
      <c r="AH586" s="149"/>
    </row>
    <row r="587" customFormat="false" ht="12" hidden="false" customHeight="false" outlineLevel="0" collapsed="false">
      <c r="A587" s="134"/>
      <c r="B587" s="135"/>
      <c r="C587" s="143"/>
      <c r="D587" s="143"/>
      <c r="E587" s="143"/>
      <c r="F587" s="143"/>
      <c r="G587" s="143"/>
      <c r="H587" s="143"/>
      <c r="I587" s="143"/>
      <c r="J587" s="143"/>
      <c r="K587" s="143"/>
      <c r="L587" s="144"/>
      <c r="M587" s="143"/>
      <c r="N587" s="145"/>
      <c r="O587" s="146"/>
      <c r="P587" s="144"/>
      <c r="Q587" s="147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  <c r="AC587" s="148"/>
      <c r="AD587" s="149"/>
      <c r="AE587" s="150"/>
      <c r="AF587" s="151"/>
      <c r="AG587" s="152"/>
      <c r="AH587" s="149"/>
    </row>
    <row r="588" customFormat="false" ht="12" hidden="false" customHeight="false" outlineLevel="0" collapsed="false">
      <c r="A588" s="134"/>
      <c r="B588" s="135"/>
      <c r="C588" s="143"/>
      <c r="D588" s="143"/>
      <c r="E588" s="143"/>
      <c r="F588" s="143"/>
      <c r="G588" s="143"/>
      <c r="H588" s="143"/>
      <c r="I588" s="143"/>
      <c r="J588" s="143"/>
      <c r="K588" s="143"/>
      <c r="L588" s="144"/>
      <c r="M588" s="143"/>
      <c r="N588" s="145"/>
      <c r="O588" s="146"/>
      <c r="P588" s="144"/>
      <c r="Q588" s="147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  <c r="AC588" s="148"/>
      <c r="AD588" s="149"/>
      <c r="AE588" s="150"/>
      <c r="AF588" s="151"/>
      <c r="AG588" s="152"/>
      <c r="AH588" s="149"/>
    </row>
    <row r="589" customFormat="false" ht="12" hidden="false" customHeight="false" outlineLevel="0" collapsed="false">
      <c r="A589" s="134"/>
      <c r="B589" s="135"/>
      <c r="C589" s="143"/>
      <c r="D589" s="143"/>
      <c r="E589" s="143"/>
      <c r="F589" s="143"/>
      <c r="G589" s="143"/>
      <c r="H589" s="143"/>
      <c r="I589" s="143"/>
      <c r="J589" s="143"/>
      <c r="K589" s="143"/>
      <c r="L589" s="144"/>
      <c r="M589" s="143"/>
      <c r="N589" s="145"/>
      <c r="O589" s="146"/>
      <c r="P589" s="144"/>
      <c r="Q589" s="147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  <c r="AC589" s="148"/>
      <c r="AD589" s="149"/>
      <c r="AE589" s="150"/>
      <c r="AF589" s="151"/>
      <c r="AG589" s="152"/>
      <c r="AH589" s="149"/>
    </row>
    <row r="590" customFormat="false" ht="12" hidden="false" customHeight="false" outlineLevel="0" collapsed="false">
      <c r="A590" s="134"/>
      <c r="B590" s="135"/>
      <c r="C590" s="143"/>
      <c r="D590" s="143"/>
      <c r="E590" s="143"/>
      <c r="F590" s="143"/>
      <c r="G590" s="143"/>
      <c r="H590" s="143"/>
      <c r="I590" s="143"/>
      <c r="J590" s="143"/>
      <c r="K590" s="143"/>
      <c r="L590" s="144"/>
      <c r="M590" s="143"/>
      <c r="N590" s="145"/>
      <c r="O590" s="146"/>
      <c r="P590" s="144"/>
      <c r="Q590" s="147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  <c r="AD590" s="149"/>
      <c r="AE590" s="150"/>
      <c r="AF590" s="151"/>
      <c r="AG590" s="152"/>
      <c r="AH590" s="149"/>
    </row>
    <row r="591" customFormat="false" ht="12" hidden="false" customHeight="false" outlineLevel="0" collapsed="false">
      <c r="A591" s="134"/>
      <c r="B591" s="135"/>
      <c r="C591" s="143"/>
      <c r="D591" s="143"/>
      <c r="E591" s="143"/>
      <c r="F591" s="143"/>
      <c r="G591" s="143"/>
      <c r="H591" s="143"/>
      <c r="I591" s="143"/>
      <c r="J591" s="143"/>
      <c r="K591" s="143"/>
      <c r="L591" s="144"/>
      <c r="M591" s="143"/>
      <c r="N591" s="145"/>
      <c r="O591" s="146"/>
      <c r="P591" s="144"/>
      <c r="Q591" s="147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  <c r="AD591" s="149"/>
      <c r="AE591" s="150"/>
      <c r="AF591" s="151"/>
      <c r="AG591" s="152"/>
      <c r="AH591" s="149"/>
    </row>
    <row r="592" customFormat="false" ht="12" hidden="false" customHeight="false" outlineLevel="0" collapsed="false">
      <c r="A592" s="134"/>
      <c r="B592" s="135"/>
      <c r="C592" s="143"/>
      <c r="D592" s="143"/>
      <c r="E592" s="143"/>
      <c r="F592" s="143"/>
      <c r="G592" s="143"/>
      <c r="H592" s="143"/>
      <c r="I592" s="143"/>
      <c r="J592" s="143"/>
      <c r="K592" s="143"/>
      <c r="L592" s="144"/>
      <c r="M592" s="143"/>
      <c r="N592" s="145"/>
      <c r="O592" s="146"/>
      <c r="P592" s="144"/>
      <c r="Q592" s="147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  <c r="AC592" s="148"/>
      <c r="AD592" s="149"/>
      <c r="AE592" s="150"/>
      <c r="AF592" s="151"/>
      <c r="AG592" s="152"/>
      <c r="AH592" s="149"/>
    </row>
    <row r="593" customFormat="false" ht="12" hidden="false" customHeight="false" outlineLevel="0" collapsed="false">
      <c r="A593" s="134"/>
      <c r="B593" s="135"/>
      <c r="C593" s="143"/>
      <c r="D593" s="143"/>
      <c r="E593" s="143"/>
      <c r="F593" s="143"/>
      <c r="G593" s="143"/>
      <c r="H593" s="143"/>
      <c r="I593" s="143"/>
      <c r="J593" s="143"/>
      <c r="K593" s="143"/>
      <c r="L593" s="144"/>
      <c r="M593" s="143"/>
      <c r="N593" s="145"/>
      <c r="O593" s="146"/>
      <c r="P593" s="144"/>
      <c r="Q593" s="147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  <c r="AC593" s="148"/>
      <c r="AD593" s="149"/>
      <c r="AE593" s="150"/>
      <c r="AF593" s="151"/>
      <c r="AG593" s="152"/>
      <c r="AH593" s="149"/>
    </row>
    <row r="594" customFormat="false" ht="12" hidden="false" customHeight="false" outlineLevel="0" collapsed="false">
      <c r="A594" s="134"/>
      <c r="B594" s="135"/>
      <c r="C594" s="143"/>
      <c r="D594" s="143"/>
      <c r="E594" s="143"/>
      <c r="F594" s="143"/>
      <c r="G594" s="143"/>
      <c r="H594" s="143"/>
      <c r="I594" s="143"/>
      <c r="J594" s="143"/>
      <c r="K594" s="143"/>
      <c r="L594" s="144"/>
      <c r="M594" s="143"/>
      <c r="N594" s="145"/>
      <c r="O594" s="146"/>
      <c r="P594" s="144"/>
      <c r="Q594" s="147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  <c r="AD594" s="149"/>
      <c r="AE594" s="150"/>
      <c r="AF594" s="151"/>
      <c r="AG594" s="152"/>
      <c r="AH594" s="149"/>
    </row>
    <row r="595" customFormat="false" ht="12" hidden="false" customHeight="false" outlineLevel="0" collapsed="false">
      <c r="A595" s="134"/>
      <c r="B595" s="135"/>
      <c r="C595" s="143"/>
      <c r="D595" s="143"/>
      <c r="E595" s="143"/>
      <c r="F595" s="143"/>
      <c r="G595" s="143"/>
      <c r="H595" s="143"/>
      <c r="I595" s="143"/>
      <c r="J595" s="143"/>
      <c r="K595" s="143"/>
      <c r="L595" s="144"/>
      <c r="M595" s="143"/>
      <c r="N595" s="145"/>
      <c r="O595" s="146"/>
      <c r="P595" s="144"/>
      <c r="Q595" s="147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  <c r="AC595" s="148"/>
      <c r="AD595" s="149"/>
      <c r="AE595" s="150"/>
      <c r="AF595" s="151"/>
      <c r="AG595" s="152"/>
      <c r="AH595" s="149"/>
    </row>
    <row r="596" customFormat="false" ht="12" hidden="false" customHeight="false" outlineLevel="0" collapsed="false">
      <c r="A596" s="134"/>
      <c r="B596" s="135"/>
      <c r="C596" s="143"/>
      <c r="D596" s="143"/>
      <c r="E596" s="143"/>
      <c r="F596" s="143"/>
      <c r="G596" s="143"/>
      <c r="H596" s="143"/>
      <c r="I596" s="143"/>
      <c r="J596" s="143"/>
      <c r="K596" s="143"/>
      <c r="L596" s="144"/>
      <c r="M596" s="143"/>
      <c r="N596" s="145"/>
      <c r="O596" s="146"/>
      <c r="P596" s="144"/>
      <c r="Q596" s="147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  <c r="AC596" s="148"/>
      <c r="AD596" s="149"/>
      <c r="AE596" s="150"/>
      <c r="AF596" s="151"/>
      <c r="AG596" s="152"/>
      <c r="AH596" s="149"/>
    </row>
    <row r="597" customFormat="false" ht="12" hidden="false" customHeight="false" outlineLevel="0" collapsed="false">
      <c r="A597" s="134"/>
      <c r="B597" s="135"/>
      <c r="C597" s="143"/>
      <c r="D597" s="143"/>
      <c r="E597" s="143"/>
      <c r="F597" s="143"/>
      <c r="G597" s="143"/>
      <c r="H597" s="143"/>
      <c r="I597" s="143"/>
      <c r="J597" s="143"/>
      <c r="K597" s="143"/>
      <c r="L597" s="144"/>
      <c r="M597" s="143"/>
      <c r="N597" s="145"/>
      <c r="O597" s="146"/>
      <c r="P597" s="144"/>
      <c r="Q597" s="147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  <c r="AC597" s="148"/>
      <c r="AD597" s="149"/>
      <c r="AE597" s="150"/>
      <c r="AF597" s="151"/>
      <c r="AG597" s="152"/>
      <c r="AH597" s="149"/>
    </row>
    <row r="598" customFormat="false" ht="12" hidden="false" customHeight="false" outlineLevel="0" collapsed="false">
      <c r="A598" s="134"/>
      <c r="B598" s="135"/>
      <c r="C598" s="143"/>
      <c r="D598" s="143"/>
      <c r="E598" s="143"/>
      <c r="F598" s="143"/>
      <c r="G598" s="143"/>
      <c r="H598" s="143"/>
      <c r="I598" s="143"/>
      <c r="J598" s="143"/>
      <c r="K598" s="143"/>
      <c r="L598" s="144"/>
      <c r="M598" s="143"/>
      <c r="N598" s="145"/>
      <c r="O598" s="146"/>
      <c r="P598" s="144"/>
      <c r="Q598" s="147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  <c r="AC598" s="148"/>
      <c r="AD598" s="149"/>
      <c r="AE598" s="150"/>
      <c r="AF598" s="151"/>
      <c r="AG598" s="152"/>
      <c r="AH598" s="149"/>
    </row>
    <row r="599" customFormat="false" ht="12" hidden="false" customHeight="false" outlineLevel="0" collapsed="false">
      <c r="A599" s="134"/>
      <c r="B599" s="135"/>
      <c r="C599" s="143"/>
      <c r="D599" s="143"/>
      <c r="E599" s="143"/>
      <c r="F599" s="143"/>
      <c r="G599" s="143"/>
      <c r="H599" s="143"/>
      <c r="I599" s="143"/>
      <c r="J599" s="143"/>
      <c r="K599" s="143"/>
      <c r="L599" s="144"/>
      <c r="M599" s="143"/>
      <c r="N599" s="145"/>
      <c r="O599" s="146"/>
      <c r="P599" s="144"/>
      <c r="Q599" s="147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  <c r="AC599" s="148"/>
      <c r="AD599" s="149"/>
      <c r="AE599" s="150"/>
      <c r="AF599" s="151"/>
      <c r="AG599" s="152"/>
      <c r="AH599" s="149"/>
    </row>
    <row r="600" customFormat="false" ht="12" hidden="false" customHeight="false" outlineLevel="0" collapsed="false">
      <c r="A600" s="134"/>
      <c r="B600" s="135"/>
      <c r="C600" s="143"/>
      <c r="D600" s="143"/>
      <c r="E600" s="143"/>
      <c r="F600" s="143"/>
      <c r="G600" s="143"/>
      <c r="H600" s="143"/>
      <c r="I600" s="143"/>
      <c r="J600" s="143"/>
      <c r="K600" s="143"/>
      <c r="L600" s="144"/>
      <c r="M600" s="143"/>
      <c r="N600" s="145"/>
      <c r="O600" s="146"/>
      <c r="P600" s="144"/>
      <c r="Q600" s="147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  <c r="AC600" s="148"/>
      <c r="AD600" s="149"/>
      <c r="AE600" s="150"/>
      <c r="AF600" s="151"/>
      <c r="AG600" s="152"/>
      <c r="AH600" s="149"/>
    </row>
    <row r="601" customFormat="false" ht="12" hidden="false" customHeight="false" outlineLevel="0" collapsed="false">
      <c r="A601" s="134"/>
      <c r="B601" s="135"/>
      <c r="C601" s="143"/>
      <c r="D601" s="143"/>
      <c r="E601" s="143"/>
      <c r="F601" s="143"/>
      <c r="G601" s="143"/>
      <c r="H601" s="143"/>
      <c r="I601" s="143"/>
      <c r="J601" s="143"/>
      <c r="K601" s="143"/>
      <c r="L601" s="144"/>
      <c r="M601" s="143"/>
      <c r="N601" s="145"/>
      <c r="O601" s="146"/>
      <c r="P601" s="144"/>
      <c r="Q601" s="147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  <c r="AC601" s="148"/>
      <c r="AD601" s="149"/>
      <c r="AE601" s="150"/>
      <c r="AF601" s="151"/>
      <c r="AG601" s="152"/>
      <c r="AH601" s="149"/>
    </row>
    <row r="602" customFormat="false" ht="12" hidden="false" customHeight="false" outlineLevel="0" collapsed="false">
      <c r="A602" s="134"/>
      <c r="B602" s="135"/>
      <c r="C602" s="143"/>
      <c r="D602" s="143"/>
      <c r="E602" s="143"/>
      <c r="F602" s="143"/>
      <c r="G602" s="143"/>
      <c r="H602" s="143"/>
      <c r="I602" s="143"/>
      <c r="J602" s="143"/>
      <c r="K602" s="143"/>
      <c r="L602" s="144"/>
      <c r="M602" s="143"/>
      <c r="N602" s="145"/>
      <c r="O602" s="146"/>
      <c r="P602" s="144"/>
      <c r="Q602" s="147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  <c r="AC602" s="148"/>
      <c r="AD602" s="149"/>
      <c r="AE602" s="150"/>
      <c r="AF602" s="151"/>
      <c r="AG602" s="152"/>
      <c r="AH602" s="149"/>
    </row>
    <row r="603" customFormat="false" ht="12" hidden="false" customHeight="false" outlineLevel="0" collapsed="false">
      <c r="A603" s="134"/>
      <c r="B603" s="135"/>
      <c r="C603" s="143"/>
      <c r="D603" s="143"/>
      <c r="E603" s="143"/>
      <c r="F603" s="143"/>
      <c r="G603" s="143"/>
      <c r="H603" s="143"/>
      <c r="I603" s="143"/>
      <c r="J603" s="143"/>
      <c r="K603" s="143"/>
      <c r="L603" s="144"/>
      <c r="M603" s="143"/>
      <c r="N603" s="145"/>
      <c r="O603" s="146"/>
      <c r="P603" s="144"/>
      <c r="Q603" s="147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  <c r="AC603" s="148"/>
      <c r="AD603" s="149"/>
      <c r="AE603" s="150"/>
      <c r="AF603" s="151"/>
      <c r="AG603" s="152"/>
      <c r="AH603" s="149"/>
    </row>
    <row r="604" customFormat="false" ht="12" hidden="false" customHeight="false" outlineLevel="0" collapsed="false">
      <c r="A604" s="134"/>
      <c r="B604" s="135"/>
      <c r="C604" s="143"/>
      <c r="D604" s="143"/>
      <c r="E604" s="143"/>
      <c r="F604" s="143"/>
      <c r="G604" s="143"/>
      <c r="H604" s="143"/>
      <c r="I604" s="143"/>
      <c r="J604" s="143"/>
      <c r="K604" s="143"/>
      <c r="L604" s="144"/>
      <c r="M604" s="143"/>
      <c r="N604" s="145"/>
      <c r="O604" s="146"/>
      <c r="P604" s="144"/>
      <c r="Q604" s="147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  <c r="AC604" s="148"/>
      <c r="AD604" s="149"/>
      <c r="AE604" s="150"/>
      <c r="AF604" s="151"/>
      <c r="AG604" s="152"/>
      <c r="AH604" s="149"/>
    </row>
    <row r="605" customFormat="false" ht="12" hidden="false" customHeight="false" outlineLevel="0" collapsed="false">
      <c r="A605" s="134"/>
      <c r="B605" s="135"/>
      <c r="C605" s="143"/>
      <c r="D605" s="143"/>
      <c r="E605" s="143"/>
      <c r="F605" s="143"/>
      <c r="G605" s="143"/>
      <c r="H605" s="143"/>
      <c r="I605" s="143"/>
      <c r="J605" s="143"/>
      <c r="K605" s="143"/>
      <c r="L605" s="144"/>
      <c r="M605" s="143"/>
      <c r="N605" s="145"/>
      <c r="O605" s="146"/>
      <c r="P605" s="144"/>
      <c r="Q605" s="147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  <c r="AC605" s="148"/>
      <c r="AD605" s="149"/>
      <c r="AE605" s="150"/>
      <c r="AF605" s="151"/>
      <c r="AG605" s="152"/>
      <c r="AH605" s="149"/>
    </row>
    <row r="606" customFormat="false" ht="12" hidden="false" customHeight="false" outlineLevel="0" collapsed="false">
      <c r="A606" s="134"/>
      <c r="B606" s="135"/>
      <c r="C606" s="143"/>
      <c r="D606" s="143"/>
      <c r="E606" s="143"/>
      <c r="F606" s="143"/>
      <c r="G606" s="143"/>
      <c r="H606" s="143"/>
      <c r="I606" s="143"/>
      <c r="J606" s="143"/>
      <c r="K606" s="143"/>
      <c r="L606" s="144"/>
      <c r="M606" s="143"/>
      <c r="N606" s="145"/>
      <c r="O606" s="146"/>
      <c r="P606" s="144"/>
      <c r="Q606" s="147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  <c r="AC606" s="148"/>
      <c r="AD606" s="149"/>
      <c r="AE606" s="150"/>
      <c r="AF606" s="151"/>
      <c r="AG606" s="152"/>
      <c r="AH606" s="149"/>
    </row>
    <row r="607" customFormat="false" ht="12" hidden="false" customHeight="false" outlineLevel="0" collapsed="false">
      <c r="A607" s="134"/>
      <c r="B607" s="135"/>
      <c r="C607" s="143"/>
      <c r="D607" s="143"/>
      <c r="E607" s="143"/>
      <c r="F607" s="143"/>
      <c r="G607" s="143"/>
      <c r="H607" s="143"/>
      <c r="I607" s="143"/>
      <c r="J607" s="143"/>
      <c r="K607" s="143"/>
      <c r="L607" s="144"/>
      <c r="M607" s="143"/>
      <c r="N607" s="145"/>
      <c r="O607" s="146"/>
      <c r="P607" s="144"/>
      <c r="Q607" s="147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  <c r="AC607" s="148"/>
      <c r="AD607" s="149"/>
      <c r="AE607" s="150"/>
      <c r="AF607" s="151"/>
      <c r="AG607" s="152"/>
      <c r="AH607" s="149"/>
    </row>
    <row r="608" customFormat="false" ht="12" hidden="false" customHeight="false" outlineLevel="0" collapsed="false">
      <c r="A608" s="134"/>
      <c r="B608" s="135"/>
      <c r="C608" s="143"/>
      <c r="D608" s="143"/>
      <c r="E608" s="143"/>
      <c r="F608" s="143"/>
      <c r="G608" s="143"/>
      <c r="H608" s="143"/>
      <c r="I608" s="143"/>
      <c r="J608" s="143"/>
      <c r="K608" s="143"/>
      <c r="L608" s="144"/>
      <c r="M608" s="143"/>
      <c r="N608" s="145"/>
      <c r="O608" s="146"/>
      <c r="P608" s="144"/>
      <c r="Q608" s="147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  <c r="AC608" s="148"/>
      <c r="AD608" s="149"/>
      <c r="AE608" s="150"/>
      <c r="AF608" s="151"/>
      <c r="AG608" s="152"/>
      <c r="AH608" s="149"/>
    </row>
    <row r="609" customFormat="false" ht="12" hidden="false" customHeight="false" outlineLevel="0" collapsed="false">
      <c r="A609" s="134"/>
      <c r="B609" s="135"/>
      <c r="C609" s="143"/>
      <c r="D609" s="143"/>
      <c r="E609" s="143"/>
      <c r="F609" s="143"/>
      <c r="G609" s="143"/>
      <c r="H609" s="143"/>
      <c r="I609" s="143"/>
      <c r="J609" s="143"/>
      <c r="K609" s="143"/>
      <c r="L609" s="144"/>
      <c r="M609" s="143"/>
      <c r="N609" s="145"/>
      <c r="O609" s="146"/>
      <c r="P609" s="144"/>
      <c r="Q609" s="147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  <c r="AC609" s="148"/>
      <c r="AD609" s="149"/>
      <c r="AE609" s="150"/>
      <c r="AF609" s="151"/>
      <c r="AG609" s="152"/>
      <c r="AH609" s="149"/>
    </row>
    <row r="610" customFormat="false" ht="12" hidden="false" customHeight="false" outlineLevel="0" collapsed="false">
      <c r="A610" s="134"/>
      <c r="B610" s="135"/>
      <c r="C610" s="143"/>
      <c r="D610" s="143"/>
      <c r="E610" s="143"/>
      <c r="F610" s="143"/>
      <c r="G610" s="143"/>
      <c r="H610" s="143"/>
      <c r="I610" s="143"/>
      <c r="J610" s="143"/>
      <c r="K610" s="143"/>
      <c r="L610" s="144"/>
      <c r="M610" s="143"/>
      <c r="N610" s="145"/>
      <c r="O610" s="146"/>
      <c r="P610" s="144"/>
      <c r="Q610" s="147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  <c r="AC610" s="148"/>
      <c r="AD610" s="149"/>
      <c r="AE610" s="150"/>
      <c r="AF610" s="151"/>
      <c r="AG610" s="152"/>
      <c r="AH610" s="149"/>
    </row>
    <row r="611" customFormat="false" ht="12" hidden="false" customHeight="false" outlineLevel="0" collapsed="false">
      <c r="A611" s="134"/>
      <c r="B611" s="135"/>
      <c r="C611" s="143"/>
      <c r="D611" s="143"/>
      <c r="E611" s="143"/>
      <c r="F611" s="143"/>
      <c r="G611" s="143"/>
      <c r="H611" s="143"/>
      <c r="I611" s="143"/>
      <c r="J611" s="143"/>
      <c r="K611" s="143"/>
      <c r="L611" s="144"/>
      <c r="M611" s="143"/>
      <c r="N611" s="145"/>
      <c r="O611" s="146"/>
      <c r="P611" s="144"/>
      <c r="Q611" s="147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  <c r="AC611" s="148"/>
      <c r="AD611" s="149"/>
      <c r="AE611" s="150"/>
      <c r="AF611" s="151"/>
      <c r="AG611" s="152"/>
      <c r="AH611" s="149"/>
    </row>
    <row r="612" customFormat="false" ht="12" hidden="false" customHeight="false" outlineLevel="0" collapsed="false">
      <c r="A612" s="134"/>
      <c r="B612" s="135"/>
      <c r="C612" s="143"/>
      <c r="D612" s="143"/>
      <c r="E612" s="143"/>
      <c r="F612" s="143"/>
      <c r="G612" s="143"/>
      <c r="H612" s="143"/>
      <c r="I612" s="143"/>
      <c r="J612" s="143"/>
      <c r="K612" s="143"/>
      <c r="L612" s="144"/>
      <c r="M612" s="143"/>
      <c r="N612" s="145"/>
      <c r="O612" s="146"/>
      <c r="P612" s="144"/>
      <c r="Q612" s="147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  <c r="AC612" s="148"/>
      <c r="AD612" s="149"/>
      <c r="AE612" s="150"/>
      <c r="AF612" s="151"/>
      <c r="AG612" s="152"/>
      <c r="AH612" s="149"/>
    </row>
    <row r="613" customFormat="false" ht="12" hidden="false" customHeight="false" outlineLevel="0" collapsed="false">
      <c r="A613" s="134"/>
      <c r="B613" s="135"/>
      <c r="C613" s="143"/>
      <c r="D613" s="143"/>
      <c r="E613" s="143"/>
      <c r="F613" s="143"/>
      <c r="G613" s="143"/>
      <c r="H613" s="143"/>
      <c r="I613" s="143"/>
      <c r="J613" s="143"/>
      <c r="K613" s="143"/>
      <c r="L613" s="144"/>
      <c r="M613" s="143"/>
      <c r="N613" s="145"/>
      <c r="O613" s="146"/>
      <c r="P613" s="144"/>
      <c r="Q613" s="147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  <c r="AC613" s="148"/>
      <c r="AD613" s="149"/>
      <c r="AE613" s="150"/>
      <c r="AF613" s="151"/>
      <c r="AG613" s="152"/>
      <c r="AH613" s="149"/>
    </row>
    <row r="614" customFormat="false" ht="12" hidden="false" customHeight="false" outlineLevel="0" collapsed="false">
      <c r="A614" s="134"/>
      <c r="B614" s="135"/>
      <c r="C614" s="143"/>
      <c r="D614" s="143"/>
      <c r="E614" s="143"/>
      <c r="F614" s="143"/>
      <c r="G614" s="143"/>
      <c r="H614" s="143"/>
      <c r="I614" s="143"/>
      <c r="J614" s="143"/>
      <c r="K614" s="143"/>
      <c r="L614" s="144"/>
      <c r="M614" s="143"/>
      <c r="N614" s="145"/>
      <c r="O614" s="146"/>
      <c r="P614" s="144"/>
      <c r="Q614" s="147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  <c r="AC614" s="148"/>
      <c r="AD614" s="149"/>
      <c r="AE614" s="150"/>
      <c r="AF614" s="151"/>
      <c r="AG614" s="152"/>
      <c r="AH614" s="149"/>
    </row>
    <row r="615" customFormat="false" ht="12" hidden="false" customHeight="false" outlineLevel="0" collapsed="false">
      <c r="A615" s="134"/>
      <c r="B615" s="135"/>
      <c r="C615" s="143"/>
      <c r="D615" s="143"/>
      <c r="E615" s="143"/>
      <c r="F615" s="143"/>
      <c r="G615" s="143"/>
      <c r="H615" s="143"/>
      <c r="I615" s="143"/>
      <c r="J615" s="143"/>
      <c r="K615" s="143"/>
      <c r="L615" s="144"/>
      <c r="M615" s="143"/>
      <c r="N615" s="145"/>
      <c r="O615" s="146"/>
      <c r="P615" s="144"/>
      <c r="Q615" s="147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  <c r="AC615" s="148"/>
      <c r="AD615" s="149"/>
      <c r="AE615" s="150"/>
      <c r="AF615" s="151"/>
      <c r="AG615" s="152"/>
      <c r="AH615" s="149"/>
    </row>
    <row r="616" customFormat="false" ht="12" hidden="false" customHeight="false" outlineLevel="0" collapsed="false">
      <c r="A616" s="134"/>
      <c r="B616" s="135"/>
      <c r="C616" s="143"/>
      <c r="D616" s="143"/>
      <c r="E616" s="143"/>
      <c r="F616" s="143"/>
      <c r="G616" s="143"/>
      <c r="H616" s="143"/>
      <c r="I616" s="143"/>
      <c r="J616" s="143"/>
      <c r="K616" s="143"/>
      <c r="L616" s="144"/>
      <c r="M616" s="143"/>
      <c r="N616" s="145"/>
      <c r="O616" s="146"/>
      <c r="P616" s="144"/>
      <c r="Q616" s="147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  <c r="AD616" s="149"/>
      <c r="AE616" s="150"/>
      <c r="AF616" s="151"/>
      <c r="AG616" s="152"/>
      <c r="AH616" s="149"/>
    </row>
    <row r="617" customFormat="false" ht="12" hidden="false" customHeight="false" outlineLevel="0" collapsed="false">
      <c r="A617" s="134"/>
      <c r="B617" s="135"/>
      <c r="C617" s="143"/>
      <c r="D617" s="143"/>
      <c r="E617" s="143"/>
      <c r="F617" s="143"/>
      <c r="G617" s="143"/>
      <c r="H617" s="143"/>
      <c r="I617" s="143"/>
      <c r="J617" s="143"/>
      <c r="K617" s="143"/>
      <c r="L617" s="144"/>
      <c r="M617" s="143"/>
      <c r="N617" s="145"/>
      <c r="O617" s="146"/>
      <c r="P617" s="144"/>
      <c r="Q617" s="147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  <c r="AC617" s="148"/>
      <c r="AD617" s="149"/>
      <c r="AE617" s="150"/>
      <c r="AF617" s="151"/>
      <c r="AG617" s="152"/>
      <c r="AH617" s="149"/>
    </row>
    <row r="618" customFormat="false" ht="12" hidden="false" customHeight="false" outlineLevel="0" collapsed="false">
      <c r="A618" s="134"/>
      <c r="B618" s="135"/>
      <c r="C618" s="143"/>
      <c r="D618" s="143"/>
      <c r="E618" s="143"/>
      <c r="F618" s="143"/>
      <c r="G618" s="143"/>
      <c r="H618" s="143"/>
      <c r="I618" s="143"/>
      <c r="J618" s="143"/>
      <c r="K618" s="143"/>
      <c r="L618" s="144"/>
      <c r="M618" s="143"/>
      <c r="N618" s="145"/>
      <c r="O618" s="146"/>
      <c r="P618" s="144"/>
      <c r="Q618" s="147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  <c r="AC618" s="148"/>
      <c r="AD618" s="149"/>
      <c r="AE618" s="150"/>
      <c r="AF618" s="151"/>
      <c r="AG618" s="152"/>
      <c r="AH618" s="149"/>
    </row>
    <row r="619" customFormat="false" ht="12" hidden="false" customHeight="false" outlineLevel="0" collapsed="false">
      <c r="A619" s="134"/>
      <c r="B619" s="135"/>
      <c r="C619" s="143"/>
      <c r="D619" s="143"/>
      <c r="E619" s="143"/>
      <c r="F619" s="143"/>
      <c r="G619" s="143"/>
      <c r="H619" s="143"/>
      <c r="I619" s="143"/>
      <c r="J619" s="143"/>
      <c r="K619" s="143"/>
      <c r="L619" s="144"/>
      <c r="M619" s="143"/>
      <c r="N619" s="145"/>
      <c r="O619" s="146"/>
      <c r="P619" s="144"/>
      <c r="Q619" s="147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  <c r="AC619" s="148"/>
      <c r="AD619" s="149"/>
      <c r="AE619" s="150"/>
      <c r="AF619" s="151"/>
      <c r="AG619" s="152"/>
      <c r="AH619" s="149"/>
    </row>
    <row r="620" customFormat="false" ht="12" hidden="false" customHeight="false" outlineLevel="0" collapsed="false">
      <c r="A620" s="134"/>
      <c r="B620" s="135"/>
      <c r="C620" s="143"/>
      <c r="D620" s="143"/>
      <c r="E620" s="143"/>
      <c r="F620" s="143"/>
      <c r="G620" s="143"/>
      <c r="H620" s="143"/>
      <c r="I620" s="143"/>
      <c r="J620" s="143"/>
      <c r="K620" s="143"/>
      <c r="L620" s="144"/>
      <c r="M620" s="143"/>
      <c r="N620" s="145"/>
      <c r="O620" s="146"/>
      <c r="P620" s="144"/>
      <c r="Q620" s="147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  <c r="AC620" s="148"/>
      <c r="AD620" s="149"/>
      <c r="AE620" s="150"/>
      <c r="AF620" s="151"/>
      <c r="AG620" s="152"/>
      <c r="AH620" s="149"/>
    </row>
    <row r="621" customFormat="false" ht="12" hidden="false" customHeight="false" outlineLevel="0" collapsed="false">
      <c r="A621" s="134"/>
      <c r="B621" s="135"/>
      <c r="C621" s="143"/>
      <c r="D621" s="143"/>
      <c r="E621" s="143"/>
      <c r="F621" s="143"/>
      <c r="G621" s="143"/>
      <c r="H621" s="143"/>
      <c r="I621" s="143"/>
      <c r="J621" s="143"/>
      <c r="K621" s="143"/>
      <c r="L621" s="144"/>
      <c r="M621" s="143"/>
      <c r="N621" s="145"/>
      <c r="O621" s="146"/>
      <c r="P621" s="144"/>
      <c r="Q621" s="147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  <c r="AC621" s="148"/>
      <c r="AD621" s="149"/>
      <c r="AE621" s="150"/>
      <c r="AF621" s="151"/>
      <c r="AG621" s="152"/>
      <c r="AH621" s="149"/>
    </row>
    <row r="622" customFormat="false" ht="12" hidden="false" customHeight="false" outlineLevel="0" collapsed="false">
      <c r="A622" s="134"/>
      <c r="B622" s="135"/>
      <c r="C622" s="143"/>
      <c r="D622" s="143"/>
      <c r="E622" s="143"/>
      <c r="F622" s="143"/>
      <c r="G622" s="143"/>
      <c r="H622" s="143"/>
      <c r="I622" s="143"/>
      <c r="J622" s="143"/>
      <c r="K622" s="143"/>
      <c r="L622" s="144"/>
      <c r="M622" s="143"/>
      <c r="N622" s="145"/>
      <c r="O622" s="146"/>
      <c r="P622" s="144"/>
      <c r="Q622" s="147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  <c r="AC622" s="148"/>
      <c r="AD622" s="149"/>
      <c r="AE622" s="150"/>
      <c r="AF622" s="151"/>
      <c r="AG622" s="152"/>
      <c r="AH622" s="149"/>
    </row>
    <row r="623" customFormat="false" ht="12" hidden="false" customHeight="false" outlineLevel="0" collapsed="false">
      <c r="A623" s="134"/>
      <c r="B623" s="135"/>
      <c r="C623" s="143"/>
      <c r="D623" s="143"/>
      <c r="E623" s="143"/>
      <c r="F623" s="143"/>
      <c r="G623" s="143"/>
      <c r="H623" s="143"/>
      <c r="I623" s="143"/>
      <c r="J623" s="143"/>
      <c r="K623" s="143"/>
      <c r="L623" s="144"/>
      <c r="M623" s="143"/>
      <c r="N623" s="145"/>
      <c r="O623" s="146"/>
      <c r="P623" s="144"/>
      <c r="Q623" s="147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  <c r="AC623" s="148"/>
      <c r="AD623" s="149"/>
      <c r="AE623" s="150"/>
      <c r="AF623" s="151"/>
      <c r="AG623" s="152"/>
      <c r="AH623" s="149"/>
    </row>
    <row r="624" customFormat="false" ht="12" hidden="false" customHeight="false" outlineLevel="0" collapsed="false">
      <c r="A624" s="134"/>
      <c r="B624" s="135"/>
      <c r="C624" s="143"/>
      <c r="D624" s="143"/>
      <c r="E624" s="143"/>
      <c r="F624" s="143"/>
      <c r="G624" s="143"/>
      <c r="H624" s="143"/>
      <c r="I624" s="143"/>
      <c r="J624" s="143"/>
      <c r="K624" s="143"/>
      <c r="L624" s="144"/>
      <c r="M624" s="143"/>
      <c r="N624" s="145"/>
      <c r="O624" s="146"/>
      <c r="P624" s="144"/>
      <c r="Q624" s="147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  <c r="AC624" s="148"/>
      <c r="AD624" s="149"/>
      <c r="AE624" s="150"/>
      <c r="AF624" s="151"/>
      <c r="AG624" s="152"/>
      <c r="AH624" s="149"/>
    </row>
    <row r="625" customFormat="false" ht="12" hidden="false" customHeight="false" outlineLevel="0" collapsed="false">
      <c r="A625" s="134"/>
      <c r="B625" s="135"/>
      <c r="C625" s="143"/>
      <c r="D625" s="143"/>
      <c r="E625" s="143"/>
      <c r="F625" s="143"/>
      <c r="G625" s="143"/>
      <c r="H625" s="143"/>
      <c r="I625" s="143"/>
      <c r="J625" s="143"/>
      <c r="K625" s="143"/>
      <c r="L625" s="144"/>
      <c r="M625" s="143"/>
      <c r="N625" s="145"/>
      <c r="O625" s="146"/>
      <c r="P625" s="144"/>
      <c r="Q625" s="147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  <c r="AC625" s="148"/>
      <c r="AD625" s="149"/>
      <c r="AE625" s="150"/>
      <c r="AF625" s="151"/>
      <c r="AG625" s="152"/>
      <c r="AH625" s="149"/>
    </row>
    <row r="626" customFormat="false" ht="12" hidden="false" customHeight="false" outlineLevel="0" collapsed="false">
      <c r="A626" s="134"/>
      <c r="B626" s="135"/>
      <c r="C626" s="143"/>
      <c r="D626" s="143"/>
      <c r="E626" s="143"/>
      <c r="F626" s="143"/>
      <c r="G626" s="143"/>
      <c r="H626" s="143"/>
      <c r="I626" s="143"/>
      <c r="J626" s="143"/>
      <c r="K626" s="143"/>
      <c r="L626" s="144"/>
      <c r="M626" s="143"/>
      <c r="N626" s="145"/>
      <c r="O626" s="146"/>
      <c r="P626" s="144"/>
      <c r="Q626" s="147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  <c r="AC626" s="148"/>
      <c r="AD626" s="149"/>
      <c r="AE626" s="150"/>
      <c r="AF626" s="151"/>
      <c r="AG626" s="152"/>
      <c r="AH626" s="149"/>
    </row>
    <row r="627" customFormat="false" ht="12" hidden="false" customHeight="false" outlineLevel="0" collapsed="false">
      <c r="A627" s="134"/>
      <c r="B627" s="135"/>
      <c r="C627" s="143"/>
      <c r="D627" s="143"/>
      <c r="E627" s="143"/>
      <c r="F627" s="143"/>
      <c r="G627" s="143"/>
      <c r="H627" s="143"/>
      <c r="I627" s="143"/>
      <c r="J627" s="143"/>
      <c r="K627" s="143"/>
      <c r="L627" s="144"/>
      <c r="M627" s="143"/>
      <c r="N627" s="145"/>
      <c r="O627" s="146"/>
      <c r="P627" s="144"/>
      <c r="Q627" s="147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  <c r="AC627" s="148"/>
      <c r="AD627" s="149"/>
      <c r="AE627" s="150"/>
      <c r="AF627" s="151"/>
      <c r="AG627" s="152"/>
      <c r="AH627" s="149"/>
    </row>
    <row r="628" customFormat="false" ht="12" hidden="false" customHeight="false" outlineLevel="0" collapsed="false">
      <c r="A628" s="134"/>
      <c r="B628" s="135"/>
      <c r="C628" s="143"/>
      <c r="D628" s="143"/>
      <c r="E628" s="143"/>
      <c r="F628" s="143"/>
      <c r="G628" s="143"/>
      <c r="H628" s="143"/>
      <c r="I628" s="143"/>
      <c r="J628" s="143"/>
      <c r="K628" s="143"/>
      <c r="L628" s="144"/>
      <c r="M628" s="143"/>
      <c r="N628" s="145"/>
      <c r="O628" s="146"/>
      <c r="P628" s="144"/>
      <c r="Q628" s="147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  <c r="AC628" s="148"/>
      <c r="AD628" s="149"/>
      <c r="AE628" s="150"/>
      <c r="AF628" s="151"/>
      <c r="AG628" s="152"/>
      <c r="AH628" s="149"/>
    </row>
    <row r="629" customFormat="false" ht="12" hidden="false" customHeight="false" outlineLevel="0" collapsed="false">
      <c r="A629" s="134"/>
      <c r="B629" s="135"/>
      <c r="C629" s="143"/>
      <c r="D629" s="143"/>
      <c r="E629" s="143"/>
      <c r="F629" s="143"/>
      <c r="G629" s="143"/>
      <c r="H629" s="143"/>
      <c r="I629" s="143"/>
      <c r="J629" s="143"/>
      <c r="K629" s="143"/>
      <c r="L629" s="144"/>
      <c r="M629" s="143"/>
      <c r="N629" s="145"/>
      <c r="O629" s="146"/>
      <c r="P629" s="144"/>
      <c r="Q629" s="147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  <c r="AC629" s="148"/>
      <c r="AD629" s="149"/>
      <c r="AE629" s="150"/>
      <c r="AF629" s="151"/>
      <c r="AG629" s="152"/>
      <c r="AH629" s="149"/>
    </row>
    <row r="630" customFormat="false" ht="12" hidden="false" customHeight="false" outlineLevel="0" collapsed="false">
      <c r="A630" s="134"/>
      <c r="B630" s="135"/>
      <c r="C630" s="143"/>
      <c r="D630" s="143"/>
      <c r="E630" s="143"/>
      <c r="F630" s="143"/>
      <c r="G630" s="143"/>
      <c r="H630" s="143"/>
      <c r="I630" s="143"/>
      <c r="J630" s="143"/>
      <c r="K630" s="143"/>
      <c r="L630" s="144"/>
      <c r="M630" s="143"/>
      <c r="N630" s="145"/>
      <c r="O630" s="146"/>
      <c r="P630" s="144"/>
      <c r="Q630" s="147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  <c r="AC630" s="148"/>
      <c r="AD630" s="149"/>
      <c r="AE630" s="150"/>
      <c r="AF630" s="151"/>
      <c r="AG630" s="152"/>
      <c r="AH630" s="149"/>
    </row>
    <row r="631" customFormat="false" ht="12" hidden="false" customHeight="false" outlineLevel="0" collapsed="false">
      <c r="A631" s="134"/>
      <c r="B631" s="135"/>
      <c r="C631" s="143"/>
      <c r="D631" s="143"/>
      <c r="E631" s="143"/>
      <c r="F631" s="143"/>
      <c r="G631" s="143"/>
      <c r="H631" s="143"/>
      <c r="I631" s="143"/>
      <c r="J631" s="143"/>
      <c r="K631" s="143"/>
      <c r="L631" s="144"/>
      <c r="M631" s="143"/>
      <c r="N631" s="145"/>
      <c r="O631" s="146"/>
      <c r="P631" s="144"/>
      <c r="Q631" s="147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  <c r="AC631" s="148"/>
      <c r="AD631" s="149"/>
      <c r="AE631" s="150"/>
      <c r="AF631" s="151"/>
      <c r="AG631" s="152"/>
      <c r="AH631" s="149"/>
    </row>
    <row r="632" customFormat="false" ht="12" hidden="false" customHeight="false" outlineLevel="0" collapsed="false">
      <c r="A632" s="134"/>
      <c r="B632" s="135"/>
      <c r="C632" s="143"/>
      <c r="D632" s="143"/>
      <c r="E632" s="143"/>
      <c r="F632" s="143"/>
      <c r="G632" s="143"/>
      <c r="H632" s="143"/>
      <c r="I632" s="143"/>
      <c r="J632" s="143"/>
      <c r="K632" s="143"/>
      <c r="L632" s="144"/>
      <c r="M632" s="143"/>
      <c r="N632" s="145"/>
      <c r="O632" s="146"/>
      <c r="P632" s="144"/>
      <c r="Q632" s="147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  <c r="AC632" s="148"/>
      <c r="AD632" s="149"/>
      <c r="AE632" s="150"/>
      <c r="AF632" s="151"/>
      <c r="AG632" s="152"/>
      <c r="AH632" s="149"/>
    </row>
    <row r="633" customFormat="false" ht="12" hidden="false" customHeight="false" outlineLevel="0" collapsed="false">
      <c r="A633" s="134"/>
      <c r="B633" s="135"/>
      <c r="C633" s="143"/>
      <c r="D633" s="143"/>
      <c r="E633" s="143"/>
      <c r="F633" s="143"/>
      <c r="G633" s="143"/>
      <c r="H633" s="143"/>
      <c r="I633" s="143"/>
      <c r="J633" s="143"/>
      <c r="K633" s="143"/>
      <c r="L633" s="144"/>
      <c r="M633" s="143"/>
      <c r="N633" s="145"/>
      <c r="O633" s="146"/>
      <c r="P633" s="144"/>
      <c r="Q633" s="147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  <c r="AC633" s="148"/>
      <c r="AD633" s="149"/>
      <c r="AE633" s="150"/>
      <c r="AF633" s="151"/>
      <c r="AG633" s="152"/>
      <c r="AH633" s="149"/>
    </row>
    <row r="634" customFormat="false" ht="12" hidden="false" customHeight="false" outlineLevel="0" collapsed="false">
      <c r="A634" s="134"/>
      <c r="B634" s="135"/>
      <c r="C634" s="143"/>
      <c r="D634" s="143"/>
      <c r="E634" s="143"/>
      <c r="F634" s="143"/>
      <c r="G634" s="143"/>
      <c r="H634" s="143"/>
      <c r="I634" s="143"/>
      <c r="J634" s="143"/>
      <c r="K634" s="143"/>
      <c r="L634" s="144"/>
      <c r="M634" s="143"/>
      <c r="N634" s="145"/>
      <c r="O634" s="146"/>
      <c r="P634" s="144"/>
      <c r="Q634" s="147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  <c r="AC634" s="148"/>
      <c r="AD634" s="149"/>
      <c r="AE634" s="150"/>
      <c r="AF634" s="151"/>
      <c r="AG634" s="152"/>
      <c r="AH634" s="149"/>
    </row>
    <row r="635" customFormat="false" ht="12" hidden="false" customHeight="false" outlineLevel="0" collapsed="false">
      <c r="A635" s="134"/>
      <c r="B635" s="135"/>
      <c r="C635" s="143"/>
      <c r="D635" s="143"/>
      <c r="E635" s="143"/>
      <c r="F635" s="143"/>
      <c r="G635" s="143"/>
      <c r="H635" s="143"/>
      <c r="I635" s="143"/>
      <c r="J635" s="143"/>
      <c r="K635" s="143"/>
      <c r="L635" s="144"/>
      <c r="M635" s="143"/>
      <c r="N635" s="145"/>
      <c r="O635" s="146"/>
      <c r="P635" s="144"/>
      <c r="Q635" s="147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  <c r="AC635" s="148"/>
      <c r="AD635" s="149"/>
      <c r="AE635" s="150"/>
      <c r="AF635" s="151"/>
      <c r="AG635" s="152"/>
      <c r="AH635" s="149"/>
    </row>
    <row r="636" customFormat="false" ht="12" hidden="false" customHeight="false" outlineLevel="0" collapsed="false">
      <c r="A636" s="134"/>
      <c r="B636" s="135"/>
      <c r="C636" s="143"/>
      <c r="D636" s="143"/>
      <c r="E636" s="143"/>
      <c r="F636" s="143"/>
      <c r="G636" s="143"/>
      <c r="H636" s="143"/>
      <c r="I636" s="143"/>
      <c r="J636" s="143"/>
      <c r="K636" s="143"/>
      <c r="L636" s="144"/>
      <c r="M636" s="143"/>
      <c r="N636" s="145"/>
      <c r="O636" s="146"/>
      <c r="P636" s="144"/>
      <c r="Q636" s="147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  <c r="AC636" s="148"/>
      <c r="AD636" s="149"/>
      <c r="AE636" s="150"/>
      <c r="AF636" s="151"/>
      <c r="AG636" s="152"/>
      <c r="AH636" s="149"/>
    </row>
    <row r="637" customFormat="false" ht="12" hidden="false" customHeight="false" outlineLevel="0" collapsed="false">
      <c r="A637" s="134"/>
      <c r="B637" s="135"/>
      <c r="C637" s="143"/>
      <c r="D637" s="143"/>
      <c r="E637" s="143"/>
      <c r="F637" s="143"/>
      <c r="G637" s="143"/>
      <c r="H637" s="143"/>
      <c r="I637" s="143"/>
      <c r="J637" s="143"/>
      <c r="K637" s="143"/>
      <c r="L637" s="144"/>
      <c r="M637" s="143"/>
      <c r="N637" s="145"/>
      <c r="O637" s="146"/>
      <c r="P637" s="144"/>
      <c r="Q637" s="147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  <c r="AC637" s="148"/>
      <c r="AD637" s="149"/>
      <c r="AE637" s="150"/>
      <c r="AF637" s="151"/>
      <c r="AG637" s="152"/>
      <c r="AH637" s="149"/>
    </row>
    <row r="638" customFormat="false" ht="12" hidden="false" customHeight="false" outlineLevel="0" collapsed="false">
      <c r="A638" s="134"/>
      <c r="B638" s="135"/>
      <c r="C638" s="143"/>
      <c r="D638" s="143"/>
      <c r="E638" s="143"/>
      <c r="F638" s="143"/>
      <c r="G638" s="143"/>
      <c r="H638" s="143"/>
      <c r="I638" s="143"/>
      <c r="J638" s="143"/>
      <c r="K638" s="143"/>
      <c r="L638" s="144"/>
      <c r="M638" s="143"/>
      <c r="N638" s="145"/>
      <c r="O638" s="146"/>
      <c r="P638" s="144"/>
      <c r="Q638" s="147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  <c r="AC638" s="148"/>
      <c r="AD638" s="149"/>
      <c r="AE638" s="150"/>
      <c r="AF638" s="151"/>
      <c r="AG638" s="152"/>
      <c r="AH638" s="149"/>
    </row>
    <row r="639" customFormat="false" ht="12" hidden="false" customHeight="false" outlineLevel="0" collapsed="false">
      <c r="A639" s="134"/>
      <c r="B639" s="135"/>
      <c r="C639" s="143"/>
      <c r="D639" s="143"/>
      <c r="E639" s="143"/>
      <c r="F639" s="143"/>
      <c r="G639" s="143"/>
      <c r="H639" s="143"/>
      <c r="I639" s="143"/>
      <c r="J639" s="143"/>
      <c r="K639" s="143"/>
      <c r="L639" s="144"/>
      <c r="M639" s="143"/>
      <c r="N639" s="145"/>
      <c r="O639" s="146"/>
      <c r="P639" s="144"/>
      <c r="Q639" s="147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  <c r="AC639" s="148"/>
      <c r="AD639" s="149"/>
      <c r="AE639" s="150"/>
      <c r="AF639" s="151"/>
      <c r="AG639" s="152"/>
      <c r="AH639" s="149"/>
    </row>
    <row r="640" customFormat="false" ht="12" hidden="false" customHeight="false" outlineLevel="0" collapsed="false">
      <c r="A640" s="134"/>
      <c r="B640" s="135"/>
      <c r="C640" s="143"/>
      <c r="D640" s="143"/>
      <c r="E640" s="143"/>
      <c r="F640" s="143"/>
      <c r="G640" s="143"/>
      <c r="H640" s="143"/>
      <c r="I640" s="143"/>
      <c r="J640" s="143"/>
      <c r="K640" s="143"/>
      <c r="L640" s="144"/>
      <c r="M640" s="143"/>
      <c r="N640" s="145"/>
      <c r="O640" s="146"/>
      <c r="P640" s="144"/>
      <c r="Q640" s="147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  <c r="AC640" s="148"/>
      <c r="AD640" s="149"/>
      <c r="AE640" s="150"/>
      <c r="AF640" s="151"/>
      <c r="AG640" s="152"/>
      <c r="AH640" s="149"/>
    </row>
    <row r="641" customFormat="false" ht="12" hidden="false" customHeight="false" outlineLevel="0" collapsed="false">
      <c r="A641" s="134"/>
      <c r="B641" s="135"/>
      <c r="C641" s="143"/>
      <c r="D641" s="143"/>
      <c r="E641" s="143"/>
      <c r="F641" s="143"/>
      <c r="G641" s="143"/>
      <c r="H641" s="143"/>
      <c r="I641" s="143"/>
      <c r="J641" s="143"/>
      <c r="K641" s="143"/>
      <c r="L641" s="144"/>
      <c r="M641" s="143"/>
      <c r="N641" s="145"/>
      <c r="O641" s="146"/>
      <c r="P641" s="144"/>
      <c r="Q641" s="147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  <c r="AC641" s="148"/>
      <c r="AD641" s="149"/>
      <c r="AE641" s="150"/>
      <c r="AF641" s="151"/>
      <c r="AG641" s="152"/>
      <c r="AH641" s="149"/>
    </row>
    <row r="642" customFormat="false" ht="12" hidden="false" customHeight="false" outlineLevel="0" collapsed="false">
      <c r="A642" s="134"/>
      <c r="B642" s="135"/>
      <c r="C642" s="143"/>
      <c r="D642" s="143"/>
      <c r="E642" s="143"/>
      <c r="F642" s="143"/>
      <c r="G642" s="143"/>
      <c r="H642" s="143"/>
      <c r="I642" s="143"/>
      <c r="J642" s="143"/>
      <c r="K642" s="143"/>
      <c r="L642" s="144"/>
      <c r="M642" s="143"/>
      <c r="N642" s="145"/>
      <c r="O642" s="146"/>
      <c r="P642" s="144"/>
      <c r="Q642" s="147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  <c r="AC642" s="148"/>
      <c r="AD642" s="149"/>
      <c r="AE642" s="150"/>
      <c r="AF642" s="151"/>
      <c r="AG642" s="152"/>
      <c r="AH642" s="149"/>
    </row>
    <row r="643" customFormat="false" ht="12" hidden="false" customHeight="false" outlineLevel="0" collapsed="false">
      <c r="A643" s="134"/>
      <c r="B643" s="135"/>
      <c r="C643" s="143"/>
      <c r="D643" s="143"/>
      <c r="E643" s="143"/>
      <c r="F643" s="143"/>
      <c r="G643" s="143"/>
      <c r="H643" s="143"/>
      <c r="I643" s="143"/>
      <c r="J643" s="143"/>
      <c r="K643" s="143"/>
      <c r="L643" s="144"/>
      <c r="M643" s="143"/>
      <c r="N643" s="145"/>
      <c r="O643" s="146"/>
      <c r="P643" s="144"/>
      <c r="Q643" s="147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  <c r="AC643" s="148"/>
      <c r="AD643" s="149"/>
      <c r="AE643" s="150"/>
      <c r="AF643" s="151"/>
      <c r="AG643" s="152"/>
      <c r="AH643" s="149"/>
    </row>
    <row r="644" customFormat="false" ht="12" hidden="false" customHeight="false" outlineLevel="0" collapsed="false">
      <c r="A644" s="134"/>
      <c r="B644" s="135"/>
      <c r="C644" s="143"/>
      <c r="D644" s="143"/>
      <c r="E644" s="143"/>
      <c r="F644" s="143"/>
      <c r="G644" s="143"/>
      <c r="H644" s="143"/>
      <c r="I644" s="143"/>
      <c r="J644" s="143"/>
      <c r="K644" s="143"/>
      <c r="L644" s="144"/>
      <c r="M644" s="143"/>
      <c r="N644" s="145"/>
      <c r="O644" s="146"/>
      <c r="P644" s="144"/>
      <c r="Q644" s="147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  <c r="AC644" s="148"/>
      <c r="AD644" s="149"/>
      <c r="AE644" s="150"/>
      <c r="AF644" s="151"/>
      <c r="AG644" s="152"/>
      <c r="AH644" s="149"/>
    </row>
    <row r="645" customFormat="false" ht="12" hidden="false" customHeight="false" outlineLevel="0" collapsed="false">
      <c r="A645" s="134"/>
      <c r="B645" s="135"/>
      <c r="C645" s="143"/>
      <c r="D645" s="143"/>
      <c r="E645" s="143"/>
      <c r="F645" s="143"/>
      <c r="G645" s="143"/>
      <c r="H645" s="143"/>
      <c r="I645" s="143"/>
      <c r="J645" s="143"/>
      <c r="K645" s="143"/>
      <c r="L645" s="144"/>
      <c r="M645" s="143"/>
      <c r="N645" s="145"/>
      <c r="O645" s="146"/>
      <c r="P645" s="144"/>
      <c r="Q645" s="147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  <c r="AC645" s="148"/>
      <c r="AD645" s="149"/>
      <c r="AE645" s="150"/>
      <c r="AF645" s="151"/>
      <c r="AG645" s="152"/>
      <c r="AH645" s="149"/>
    </row>
    <row r="646" customFormat="false" ht="12" hidden="false" customHeight="false" outlineLevel="0" collapsed="false">
      <c r="A646" s="134"/>
      <c r="B646" s="135"/>
      <c r="C646" s="143"/>
      <c r="D646" s="143"/>
      <c r="E646" s="143"/>
      <c r="F646" s="143"/>
      <c r="G646" s="143"/>
      <c r="H646" s="143"/>
      <c r="I646" s="143"/>
      <c r="J646" s="143"/>
      <c r="K646" s="143"/>
      <c r="L646" s="144"/>
      <c r="M646" s="143"/>
      <c r="N646" s="145"/>
      <c r="O646" s="146"/>
      <c r="P646" s="144"/>
      <c r="Q646" s="147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  <c r="AC646" s="148"/>
      <c r="AD646" s="149"/>
      <c r="AE646" s="150"/>
      <c r="AF646" s="151"/>
      <c r="AG646" s="152"/>
      <c r="AH646" s="149"/>
    </row>
    <row r="647" customFormat="false" ht="12" hidden="false" customHeight="false" outlineLevel="0" collapsed="false">
      <c r="A647" s="134"/>
      <c r="B647" s="135"/>
      <c r="C647" s="143"/>
      <c r="D647" s="143"/>
      <c r="E647" s="143"/>
      <c r="F647" s="143"/>
      <c r="G647" s="143"/>
      <c r="H647" s="143"/>
      <c r="I647" s="143"/>
      <c r="J647" s="143"/>
      <c r="K647" s="143"/>
      <c r="L647" s="144"/>
      <c r="M647" s="143"/>
      <c r="N647" s="145"/>
      <c r="O647" s="146"/>
      <c r="P647" s="144"/>
      <c r="Q647" s="147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  <c r="AC647" s="148"/>
      <c r="AD647" s="149"/>
      <c r="AE647" s="150"/>
      <c r="AF647" s="151"/>
      <c r="AG647" s="152"/>
      <c r="AH647" s="149"/>
    </row>
    <row r="648" customFormat="false" ht="12" hidden="false" customHeight="false" outlineLevel="0" collapsed="false">
      <c r="A648" s="134"/>
      <c r="B648" s="135"/>
      <c r="C648" s="143"/>
      <c r="D648" s="143"/>
      <c r="E648" s="143"/>
      <c r="F648" s="143"/>
      <c r="G648" s="143"/>
      <c r="H648" s="143"/>
      <c r="I648" s="143"/>
      <c r="J648" s="143"/>
      <c r="K648" s="143"/>
      <c r="L648" s="144"/>
      <c r="M648" s="143"/>
      <c r="N648" s="145"/>
      <c r="O648" s="146"/>
      <c r="P648" s="144"/>
      <c r="Q648" s="147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  <c r="AD648" s="149"/>
      <c r="AE648" s="150"/>
      <c r="AF648" s="151"/>
      <c r="AG648" s="152"/>
      <c r="AH648" s="149"/>
    </row>
    <row r="649" customFormat="false" ht="12" hidden="false" customHeight="false" outlineLevel="0" collapsed="false">
      <c r="A649" s="134"/>
      <c r="B649" s="135"/>
      <c r="C649" s="143"/>
      <c r="D649" s="143"/>
      <c r="E649" s="143"/>
      <c r="F649" s="143"/>
      <c r="G649" s="143"/>
      <c r="H649" s="143"/>
      <c r="I649" s="143"/>
      <c r="J649" s="143"/>
      <c r="K649" s="143"/>
      <c r="L649" s="144"/>
      <c r="M649" s="143"/>
      <c r="N649" s="145"/>
      <c r="O649" s="146"/>
      <c r="P649" s="144"/>
      <c r="Q649" s="147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  <c r="AC649" s="148"/>
      <c r="AD649" s="149"/>
      <c r="AE649" s="150"/>
      <c r="AF649" s="151"/>
      <c r="AG649" s="152"/>
      <c r="AH649" s="149"/>
    </row>
    <row r="650" customFormat="false" ht="12" hidden="false" customHeight="false" outlineLevel="0" collapsed="false">
      <c r="A650" s="134"/>
      <c r="B650" s="135"/>
      <c r="C650" s="143"/>
      <c r="D650" s="143"/>
      <c r="E650" s="143"/>
      <c r="F650" s="143"/>
      <c r="G650" s="143"/>
      <c r="H650" s="143"/>
      <c r="I650" s="143"/>
      <c r="J650" s="143"/>
      <c r="K650" s="143"/>
      <c r="L650" s="144"/>
      <c r="M650" s="143"/>
      <c r="N650" s="145"/>
      <c r="O650" s="146"/>
      <c r="P650" s="144"/>
      <c r="Q650" s="147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  <c r="AC650" s="148"/>
      <c r="AD650" s="149"/>
      <c r="AE650" s="150"/>
      <c r="AF650" s="151"/>
      <c r="AG650" s="152"/>
      <c r="AH650" s="149"/>
    </row>
    <row r="651" customFormat="false" ht="12" hidden="false" customHeight="false" outlineLevel="0" collapsed="false">
      <c r="A651" s="134"/>
      <c r="B651" s="135"/>
      <c r="C651" s="143"/>
      <c r="D651" s="143"/>
      <c r="E651" s="143"/>
      <c r="F651" s="143"/>
      <c r="G651" s="143"/>
      <c r="H651" s="143"/>
      <c r="I651" s="143"/>
      <c r="J651" s="143"/>
      <c r="K651" s="143"/>
      <c r="L651" s="144"/>
      <c r="M651" s="143"/>
      <c r="N651" s="145"/>
      <c r="O651" s="146"/>
      <c r="P651" s="144"/>
      <c r="Q651" s="147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  <c r="AC651" s="148"/>
      <c r="AD651" s="149"/>
      <c r="AE651" s="150"/>
      <c r="AF651" s="151"/>
      <c r="AG651" s="152"/>
      <c r="AH651" s="149"/>
    </row>
    <row r="652" customFormat="false" ht="12" hidden="false" customHeight="false" outlineLevel="0" collapsed="false">
      <c r="A652" s="134"/>
      <c r="B652" s="135"/>
      <c r="C652" s="143"/>
      <c r="D652" s="143"/>
      <c r="E652" s="143"/>
      <c r="F652" s="143"/>
      <c r="G652" s="143"/>
      <c r="H652" s="143"/>
      <c r="I652" s="143"/>
      <c r="J652" s="143"/>
      <c r="K652" s="143"/>
      <c r="L652" s="144"/>
      <c r="M652" s="143"/>
      <c r="N652" s="145"/>
      <c r="O652" s="146"/>
      <c r="P652" s="144"/>
      <c r="Q652" s="147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  <c r="AC652" s="148"/>
      <c r="AD652" s="149"/>
      <c r="AE652" s="150"/>
      <c r="AF652" s="151"/>
      <c r="AG652" s="152"/>
      <c r="AH652" s="149"/>
    </row>
    <row r="653" customFormat="false" ht="12" hidden="false" customHeight="false" outlineLevel="0" collapsed="false">
      <c r="A653" s="134"/>
      <c r="B653" s="135"/>
      <c r="C653" s="143"/>
      <c r="D653" s="143"/>
      <c r="E653" s="143"/>
      <c r="F653" s="143"/>
      <c r="G653" s="143"/>
      <c r="H653" s="143"/>
      <c r="I653" s="143"/>
      <c r="J653" s="143"/>
      <c r="K653" s="143"/>
      <c r="L653" s="144"/>
      <c r="M653" s="143"/>
      <c r="N653" s="145"/>
      <c r="O653" s="146"/>
      <c r="P653" s="144"/>
      <c r="Q653" s="147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  <c r="AC653" s="148"/>
      <c r="AD653" s="149"/>
      <c r="AE653" s="150"/>
      <c r="AF653" s="151"/>
      <c r="AG653" s="152"/>
      <c r="AH653" s="149"/>
    </row>
    <row r="654" customFormat="false" ht="12" hidden="false" customHeight="false" outlineLevel="0" collapsed="false">
      <c r="A654" s="134"/>
      <c r="B654" s="135"/>
      <c r="C654" s="143"/>
      <c r="D654" s="143"/>
      <c r="E654" s="143"/>
      <c r="F654" s="143"/>
      <c r="G654" s="143"/>
      <c r="H654" s="143"/>
      <c r="I654" s="143"/>
      <c r="J654" s="143"/>
      <c r="K654" s="143"/>
      <c r="L654" s="144"/>
      <c r="M654" s="143"/>
      <c r="N654" s="145"/>
      <c r="O654" s="146"/>
      <c r="P654" s="144"/>
      <c r="Q654" s="147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  <c r="AC654" s="148"/>
      <c r="AD654" s="149"/>
      <c r="AE654" s="150"/>
      <c r="AF654" s="151"/>
      <c r="AG654" s="152"/>
      <c r="AH654" s="149"/>
    </row>
    <row r="655" customFormat="false" ht="12" hidden="false" customHeight="false" outlineLevel="0" collapsed="false">
      <c r="A655" s="134"/>
      <c r="B655" s="135"/>
      <c r="C655" s="143"/>
      <c r="D655" s="143"/>
      <c r="E655" s="143"/>
      <c r="F655" s="143"/>
      <c r="G655" s="143"/>
      <c r="H655" s="143"/>
      <c r="I655" s="143"/>
      <c r="J655" s="143"/>
      <c r="K655" s="143"/>
      <c r="L655" s="144"/>
      <c r="M655" s="143"/>
      <c r="N655" s="145"/>
      <c r="O655" s="146"/>
      <c r="P655" s="144"/>
      <c r="Q655" s="147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  <c r="AC655" s="148"/>
      <c r="AD655" s="149"/>
      <c r="AE655" s="150"/>
      <c r="AF655" s="151"/>
      <c r="AG655" s="152"/>
      <c r="AH655" s="149"/>
    </row>
    <row r="656" customFormat="false" ht="12" hidden="false" customHeight="false" outlineLevel="0" collapsed="false">
      <c r="A656" s="134"/>
      <c r="B656" s="135"/>
      <c r="C656" s="143"/>
      <c r="D656" s="143"/>
      <c r="E656" s="143"/>
      <c r="F656" s="143"/>
      <c r="G656" s="143"/>
      <c r="H656" s="143"/>
      <c r="I656" s="143"/>
      <c r="J656" s="143"/>
      <c r="K656" s="143"/>
      <c r="L656" s="144"/>
      <c r="M656" s="143"/>
      <c r="N656" s="145"/>
      <c r="O656" s="146"/>
      <c r="P656" s="144"/>
      <c r="Q656" s="147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  <c r="AC656" s="148"/>
      <c r="AD656" s="149"/>
      <c r="AE656" s="150"/>
      <c r="AF656" s="151"/>
      <c r="AG656" s="152"/>
      <c r="AH656" s="149"/>
    </row>
    <row r="657" customFormat="false" ht="12" hidden="false" customHeight="false" outlineLevel="0" collapsed="false">
      <c r="A657" s="134"/>
      <c r="B657" s="135"/>
      <c r="C657" s="143"/>
      <c r="D657" s="143"/>
      <c r="E657" s="143"/>
      <c r="F657" s="143"/>
      <c r="G657" s="143"/>
      <c r="H657" s="143"/>
      <c r="I657" s="143"/>
      <c r="J657" s="143"/>
      <c r="K657" s="143"/>
      <c r="L657" s="144"/>
      <c r="M657" s="143"/>
      <c r="N657" s="145"/>
      <c r="O657" s="146"/>
      <c r="P657" s="144"/>
      <c r="Q657" s="147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  <c r="AC657" s="148"/>
      <c r="AD657" s="149"/>
      <c r="AE657" s="150"/>
      <c r="AF657" s="151"/>
      <c r="AG657" s="152"/>
      <c r="AH657" s="149"/>
    </row>
    <row r="658" customFormat="false" ht="12" hidden="false" customHeight="false" outlineLevel="0" collapsed="false">
      <c r="A658" s="134"/>
      <c r="B658" s="135"/>
      <c r="C658" s="143"/>
      <c r="D658" s="143"/>
      <c r="E658" s="143"/>
      <c r="F658" s="143"/>
      <c r="G658" s="143"/>
      <c r="H658" s="143"/>
      <c r="I658" s="143"/>
      <c r="J658" s="143"/>
      <c r="K658" s="143"/>
      <c r="L658" s="144"/>
      <c r="M658" s="143"/>
      <c r="N658" s="145"/>
      <c r="O658" s="146"/>
      <c r="P658" s="144"/>
      <c r="Q658" s="147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  <c r="AC658" s="148"/>
      <c r="AD658" s="149"/>
      <c r="AE658" s="150"/>
      <c r="AF658" s="151"/>
      <c r="AG658" s="152"/>
      <c r="AH658" s="149"/>
    </row>
    <row r="659" customFormat="false" ht="12" hidden="false" customHeight="false" outlineLevel="0" collapsed="false">
      <c r="A659" s="134"/>
      <c r="B659" s="135"/>
      <c r="C659" s="143"/>
      <c r="D659" s="143"/>
      <c r="E659" s="143"/>
      <c r="F659" s="143"/>
      <c r="G659" s="143"/>
      <c r="H659" s="143"/>
      <c r="I659" s="143"/>
      <c r="J659" s="143"/>
      <c r="K659" s="143"/>
      <c r="L659" s="144"/>
      <c r="M659" s="143"/>
      <c r="N659" s="145"/>
      <c r="O659" s="146"/>
      <c r="P659" s="144"/>
      <c r="Q659" s="147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  <c r="AC659" s="148"/>
      <c r="AD659" s="149"/>
      <c r="AE659" s="150"/>
      <c r="AF659" s="151"/>
      <c r="AG659" s="152"/>
      <c r="AH659" s="149"/>
    </row>
    <row r="660" customFormat="false" ht="12" hidden="false" customHeight="false" outlineLevel="0" collapsed="false">
      <c r="A660" s="134"/>
      <c r="B660" s="135"/>
      <c r="C660" s="143"/>
      <c r="D660" s="143"/>
      <c r="E660" s="143"/>
      <c r="F660" s="143"/>
      <c r="G660" s="143"/>
      <c r="H660" s="143"/>
      <c r="I660" s="143"/>
      <c r="J660" s="143"/>
      <c r="K660" s="143"/>
      <c r="L660" s="144"/>
      <c r="M660" s="143"/>
      <c r="N660" s="145"/>
      <c r="O660" s="146"/>
      <c r="P660" s="144"/>
      <c r="Q660" s="147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  <c r="AC660" s="148"/>
      <c r="AD660" s="149"/>
      <c r="AE660" s="150"/>
      <c r="AF660" s="151"/>
      <c r="AG660" s="152"/>
      <c r="AH660" s="149"/>
    </row>
    <row r="661" customFormat="false" ht="12" hidden="false" customHeight="false" outlineLevel="0" collapsed="false">
      <c r="A661" s="134"/>
      <c r="B661" s="135"/>
      <c r="C661" s="143"/>
      <c r="D661" s="143"/>
      <c r="E661" s="143"/>
      <c r="F661" s="143"/>
      <c r="G661" s="143"/>
      <c r="H661" s="143"/>
      <c r="I661" s="143"/>
      <c r="J661" s="143"/>
      <c r="K661" s="143"/>
      <c r="L661" s="144"/>
      <c r="M661" s="143"/>
      <c r="N661" s="145"/>
      <c r="O661" s="146"/>
      <c r="P661" s="144"/>
      <c r="Q661" s="147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  <c r="AC661" s="148"/>
      <c r="AD661" s="149"/>
      <c r="AE661" s="150"/>
      <c r="AF661" s="151"/>
      <c r="AG661" s="152"/>
      <c r="AH661" s="149"/>
    </row>
    <row r="662" customFormat="false" ht="12" hidden="false" customHeight="false" outlineLevel="0" collapsed="false">
      <c r="A662" s="134"/>
      <c r="B662" s="135"/>
      <c r="C662" s="143"/>
      <c r="D662" s="143"/>
      <c r="E662" s="143"/>
      <c r="F662" s="143"/>
      <c r="G662" s="143"/>
      <c r="H662" s="143"/>
      <c r="I662" s="143"/>
      <c r="J662" s="143"/>
      <c r="K662" s="143"/>
      <c r="L662" s="144"/>
      <c r="M662" s="143"/>
      <c r="N662" s="145"/>
      <c r="O662" s="146"/>
      <c r="P662" s="144"/>
      <c r="Q662" s="147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  <c r="AC662" s="148"/>
      <c r="AD662" s="149"/>
      <c r="AE662" s="150"/>
      <c r="AF662" s="151"/>
      <c r="AG662" s="152"/>
      <c r="AH662" s="149"/>
    </row>
    <row r="663" customFormat="false" ht="12" hidden="false" customHeight="false" outlineLevel="0" collapsed="false">
      <c r="A663" s="134"/>
      <c r="B663" s="135"/>
      <c r="C663" s="143"/>
      <c r="D663" s="143"/>
      <c r="E663" s="143"/>
      <c r="F663" s="143"/>
      <c r="G663" s="143"/>
      <c r="H663" s="143"/>
      <c r="I663" s="143"/>
      <c r="J663" s="143"/>
      <c r="K663" s="143"/>
      <c r="L663" s="144"/>
      <c r="M663" s="143"/>
      <c r="N663" s="145"/>
      <c r="O663" s="146"/>
      <c r="P663" s="144"/>
      <c r="Q663" s="147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  <c r="AC663" s="148"/>
      <c r="AD663" s="149"/>
      <c r="AE663" s="150"/>
      <c r="AF663" s="151"/>
      <c r="AG663" s="152"/>
      <c r="AH663" s="149"/>
    </row>
    <row r="664" customFormat="false" ht="12" hidden="false" customHeight="false" outlineLevel="0" collapsed="false">
      <c r="A664" s="134"/>
      <c r="B664" s="135"/>
      <c r="C664" s="143"/>
      <c r="D664" s="143"/>
      <c r="E664" s="143"/>
      <c r="F664" s="143"/>
      <c r="G664" s="143"/>
      <c r="H664" s="143"/>
      <c r="I664" s="143"/>
      <c r="J664" s="143"/>
      <c r="K664" s="143"/>
      <c r="L664" s="144"/>
      <c r="M664" s="143"/>
      <c r="N664" s="145"/>
      <c r="O664" s="146"/>
      <c r="P664" s="144"/>
      <c r="Q664" s="147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  <c r="AC664" s="148"/>
      <c r="AD664" s="149"/>
      <c r="AE664" s="150"/>
      <c r="AF664" s="151"/>
      <c r="AG664" s="152"/>
      <c r="AH664" s="149"/>
    </row>
    <row r="665" customFormat="false" ht="12" hidden="false" customHeight="false" outlineLevel="0" collapsed="false">
      <c r="A665" s="134"/>
      <c r="B665" s="135"/>
      <c r="C665" s="143"/>
      <c r="D665" s="143"/>
      <c r="E665" s="143"/>
      <c r="F665" s="143"/>
      <c r="G665" s="143"/>
      <c r="H665" s="143"/>
      <c r="I665" s="143"/>
      <c r="J665" s="143"/>
      <c r="K665" s="143"/>
      <c r="L665" s="144"/>
      <c r="M665" s="143"/>
      <c r="N665" s="145"/>
      <c r="O665" s="146"/>
      <c r="P665" s="144"/>
      <c r="Q665" s="147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  <c r="AC665" s="148"/>
      <c r="AD665" s="149"/>
      <c r="AE665" s="150"/>
      <c r="AF665" s="151"/>
      <c r="AG665" s="152"/>
      <c r="AH665" s="149"/>
    </row>
    <row r="666" customFormat="false" ht="12" hidden="false" customHeight="false" outlineLevel="0" collapsed="false">
      <c r="A666" s="134"/>
      <c r="B666" s="135"/>
      <c r="C666" s="143"/>
      <c r="D666" s="143"/>
      <c r="E666" s="143"/>
      <c r="F666" s="143"/>
      <c r="G666" s="143"/>
      <c r="H666" s="143"/>
      <c r="I666" s="143"/>
      <c r="J666" s="143"/>
      <c r="K666" s="143"/>
      <c r="L666" s="144"/>
      <c r="M666" s="143"/>
      <c r="N666" s="145"/>
      <c r="O666" s="146"/>
      <c r="P666" s="144"/>
      <c r="Q666" s="147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  <c r="AC666" s="148"/>
      <c r="AD666" s="149"/>
      <c r="AE666" s="150"/>
      <c r="AF666" s="151"/>
      <c r="AG666" s="152"/>
      <c r="AH666" s="149"/>
    </row>
    <row r="667" customFormat="false" ht="12" hidden="false" customHeight="false" outlineLevel="0" collapsed="false">
      <c r="A667" s="134"/>
      <c r="B667" s="135"/>
      <c r="C667" s="143"/>
      <c r="D667" s="143"/>
      <c r="E667" s="143"/>
      <c r="F667" s="143"/>
      <c r="G667" s="143"/>
      <c r="H667" s="143"/>
      <c r="I667" s="143"/>
      <c r="J667" s="143"/>
      <c r="K667" s="143"/>
      <c r="L667" s="144"/>
      <c r="M667" s="143"/>
      <c r="N667" s="145"/>
      <c r="O667" s="146"/>
      <c r="P667" s="144"/>
      <c r="Q667" s="147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  <c r="AC667" s="148"/>
      <c r="AD667" s="149"/>
      <c r="AE667" s="150"/>
      <c r="AF667" s="151"/>
      <c r="AG667" s="152"/>
      <c r="AH667" s="149"/>
    </row>
    <row r="668" customFormat="false" ht="12" hidden="false" customHeight="false" outlineLevel="0" collapsed="false">
      <c r="A668" s="134"/>
      <c r="B668" s="135"/>
      <c r="C668" s="143"/>
      <c r="D668" s="143"/>
      <c r="E668" s="143"/>
      <c r="F668" s="143"/>
      <c r="G668" s="143"/>
      <c r="H668" s="143"/>
      <c r="I668" s="143"/>
      <c r="J668" s="143"/>
      <c r="K668" s="143"/>
      <c r="L668" s="144"/>
      <c r="M668" s="143"/>
      <c r="N668" s="145"/>
      <c r="O668" s="146"/>
      <c r="P668" s="144"/>
      <c r="Q668" s="147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  <c r="AC668" s="148"/>
      <c r="AD668" s="149"/>
      <c r="AE668" s="150"/>
      <c r="AF668" s="151"/>
      <c r="AG668" s="152"/>
      <c r="AH668" s="149"/>
    </row>
    <row r="669" customFormat="false" ht="12" hidden="false" customHeight="false" outlineLevel="0" collapsed="false">
      <c r="A669" s="134"/>
      <c r="B669" s="135"/>
      <c r="C669" s="143"/>
      <c r="D669" s="143"/>
      <c r="E669" s="143"/>
      <c r="F669" s="143"/>
      <c r="G669" s="143"/>
      <c r="H669" s="143"/>
      <c r="I669" s="143"/>
      <c r="J669" s="143"/>
      <c r="K669" s="143"/>
      <c r="L669" s="144"/>
      <c r="M669" s="143"/>
      <c r="N669" s="145"/>
      <c r="O669" s="146"/>
      <c r="P669" s="144"/>
      <c r="Q669" s="147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  <c r="AC669" s="148"/>
      <c r="AD669" s="149"/>
      <c r="AE669" s="150"/>
      <c r="AF669" s="151"/>
      <c r="AG669" s="152"/>
      <c r="AH669" s="149"/>
    </row>
    <row r="670" customFormat="false" ht="12" hidden="false" customHeight="false" outlineLevel="0" collapsed="false">
      <c r="A670" s="134"/>
      <c r="B670" s="135"/>
      <c r="C670" s="143"/>
      <c r="D670" s="143"/>
      <c r="E670" s="143"/>
      <c r="F670" s="143"/>
      <c r="G670" s="143"/>
      <c r="H670" s="143"/>
      <c r="I670" s="143"/>
      <c r="J670" s="143"/>
      <c r="K670" s="143"/>
      <c r="L670" s="144"/>
      <c r="M670" s="143"/>
      <c r="N670" s="145"/>
      <c r="O670" s="146"/>
      <c r="P670" s="144"/>
      <c r="Q670" s="147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  <c r="AC670" s="148"/>
      <c r="AD670" s="149"/>
      <c r="AE670" s="150"/>
      <c r="AF670" s="151"/>
      <c r="AG670" s="152"/>
      <c r="AH670" s="149"/>
    </row>
    <row r="671" customFormat="false" ht="12" hidden="false" customHeight="false" outlineLevel="0" collapsed="false">
      <c r="A671" s="134"/>
      <c r="B671" s="135"/>
      <c r="C671" s="143"/>
      <c r="D671" s="143"/>
      <c r="E671" s="143"/>
      <c r="F671" s="143"/>
      <c r="G671" s="143"/>
      <c r="H671" s="143"/>
      <c r="I671" s="143"/>
      <c r="J671" s="143"/>
      <c r="K671" s="143"/>
      <c r="L671" s="144"/>
      <c r="M671" s="143"/>
      <c r="N671" s="145"/>
      <c r="O671" s="146"/>
      <c r="P671" s="144"/>
      <c r="Q671" s="147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  <c r="AC671" s="148"/>
      <c r="AD671" s="149"/>
      <c r="AE671" s="150"/>
      <c r="AF671" s="151"/>
      <c r="AG671" s="152"/>
      <c r="AH671" s="149"/>
    </row>
    <row r="672" customFormat="false" ht="12" hidden="false" customHeight="false" outlineLevel="0" collapsed="false">
      <c r="A672" s="134"/>
      <c r="B672" s="135"/>
      <c r="C672" s="143"/>
      <c r="D672" s="143"/>
      <c r="E672" s="143"/>
      <c r="F672" s="143"/>
      <c r="G672" s="143"/>
      <c r="H672" s="143"/>
      <c r="I672" s="143"/>
      <c r="J672" s="143"/>
      <c r="K672" s="143"/>
      <c r="L672" s="144"/>
      <c r="M672" s="143"/>
      <c r="N672" s="145"/>
      <c r="O672" s="146"/>
      <c r="P672" s="144"/>
      <c r="Q672" s="147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  <c r="AC672" s="148"/>
      <c r="AD672" s="149"/>
      <c r="AE672" s="150"/>
      <c r="AF672" s="151"/>
      <c r="AG672" s="152"/>
      <c r="AH672" s="149"/>
    </row>
    <row r="673" customFormat="false" ht="12" hidden="false" customHeight="false" outlineLevel="0" collapsed="false">
      <c r="A673" s="134"/>
      <c r="B673" s="135"/>
      <c r="C673" s="143"/>
      <c r="D673" s="143"/>
      <c r="E673" s="143"/>
      <c r="F673" s="143"/>
      <c r="G673" s="143"/>
      <c r="H673" s="143"/>
      <c r="I673" s="143"/>
      <c r="J673" s="143"/>
      <c r="K673" s="143"/>
      <c r="L673" s="144"/>
      <c r="M673" s="143"/>
      <c r="N673" s="145"/>
      <c r="O673" s="146"/>
      <c r="P673" s="144"/>
      <c r="Q673" s="147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  <c r="AC673" s="148"/>
      <c r="AD673" s="149"/>
      <c r="AE673" s="150"/>
      <c r="AF673" s="151"/>
      <c r="AG673" s="152"/>
      <c r="AH673" s="149"/>
    </row>
    <row r="674" customFormat="false" ht="12" hidden="false" customHeight="false" outlineLevel="0" collapsed="false">
      <c r="A674" s="134"/>
      <c r="B674" s="135"/>
      <c r="C674" s="143"/>
      <c r="D674" s="143"/>
      <c r="E674" s="143"/>
      <c r="F674" s="143"/>
      <c r="G674" s="143"/>
      <c r="H674" s="143"/>
      <c r="I674" s="143"/>
      <c r="J674" s="143"/>
      <c r="K674" s="143"/>
      <c r="L674" s="144"/>
      <c r="M674" s="143"/>
      <c r="N674" s="145"/>
      <c r="O674" s="146"/>
      <c r="P674" s="144"/>
      <c r="Q674" s="147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  <c r="AC674" s="148"/>
      <c r="AD674" s="149"/>
      <c r="AE674" s="150"/>
      <c r="AF674" s="151"/>
      <c r="AG674" s="152"/>
      <c r="AH674" s="149"/>
    </row>
    <row r="675" customFormat="false" ht="12" hidden="false" customHeight="false" outlineLevel="0" collapsed="false">
      <c r="A675" s="134"/>
      <c r="B675" s="135"/>
      <c r="C675" s="143"/>
      <c r="D675" s="143"/>
      <c r="E675" s="143"/>
      <c r="F675" s="143"/>
      <c r="G675" s="143"/>
      <c r="H675" s="143"/>
      <c r="I675" s="143"/>
      <c r="J675" s="143"/>
      <c r="K675" s="143"/>
      <c r="L675" s="144"/>
      <c r="M675" s="143"/>
      <c r="N675" s="145"/>
      <c r="O675" s="146"/>
      <c r="P675" s="144"/>
      <c r="Q675" s="147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  <c r="AC675" s="148"/>
      <c r="AD675" s="149"/>
      <c r="AE675" s="150"/>
      <c r="AF675" s="151"/>
      <c r="AG675" s="152"/>
      <c r="AH675" s="149"/>
    </row>
    <row r="676" customFormat="false" ht="12" hidden="false" customHeight="false" outlineLevel="0" collapsed="false">
      <c r="A676" s="134"/>
      <c r="B676" s="135"/>
      <c r="C676" s="143"/>
      <c r="D676" s="143"/>
      <c r="E676" s="143"/>
      <c r="F676" s="143"/>
      <c r="G676" s="143"/>
      <c r="H676" s="143"/>
      <c r="I676" s="143"/>
      <c r="J676" s="143"/>
      <c r="K676" s="143"/>
      <c r="L676" s="144"/>
      <c r="M676" s="143"/>
      <c r="N676" s="145"/>
      <c r="O676" s="146"/>
      <c r="P676" s="144"/>
      <c r="Q676" s="147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  <c r="AC676" s="148"/>
      <c r="AD676" s="149"/>
      <c r="AE676" s="150"/>
      <c r="AF676" s="151"/>
      <c r="AG676" s="152"/>
      <c r="AH676" s="149"/>
    </row>
    <row r="677" customFormat="false" ht="12" hidden="false" customHeight="false" outlineLevel="0" collapsed="false">
      <c r="A677" s="134"/>
      <c r="B677" s="135"/>
      <c r="C677" s="143"/>
      <c r="D677" s="143"/>
      <c r="E677" s="143"/>
      <c r="F677" s="143"/>
      <c r="G677" s="143"/>
      <c r="H677" s="143"/>
      <c r="I677" s="143"/>
      <c r="J677" s="143"/>
      <c r="K677" s="143"/>
      <c r="L677" s="144"/>
      <c r="M677" s="143"/>
      <c r="N677" s="145"/>
      <c r="O677" s="146"/>
      <c r="P677" s="144"/>
      <c r="Q677" s="147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  <c r="AC677" s="148"/>
      <c r="AD677" s="149"/>
      <c r="AE677" s="150"/>
      <c r="AF677" s="151"/>
      <c r="AG677" s="152"/>
      <c r="AH677" s="149"/>
    </row>
    <row r="678" customFormat="false" ht="12" hidden="false" customHeight="false" outlineLevel="0" collapsed="false">
      <c r="A678" s="134"/>
      <c r="B678" s="135"/>
      <c r="C678" s="143"/>
      <c r="D678" s="143"/>
      <c r="E678" s="143"/>
      <c r="F678" s="143"/>
      <c r="G678" s="143"/>
      <c r="H678" s="143"/>
      <c r="I678" s="143"/>
      <c r="J678" s="143"/>
      <c r="K678" s="143"/>
      <c r="L678" s="144"/>
      <c r="M678" s="143"/>
      <c r="N678" s="145"/>
      <c r="O678" s="146"/>
      <c r="P678" s="144"/>
      <c r="Q678" s="147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  <c r="AC678" s="148"/>
      <c r="AD678" s="149"/>
      <c r="AE678" s="150"/>
      <c r="AF678" s="151"/>
      <c r="AG678" s="152"/>
      <c r="AH678" s="149"/>
    </row>
    <row r="679" customFormat="false" ht="12" hidden="false" customHeight="false" outlineLevel="0" collapsed="false">
      <c r="A679" s="134"/>
      <c r="B679" s="135"/>
      <c r="C679" s="143"/>
      <c r="D679" s="143"/>
      <c r="E679" s="143"/>
      <c r="F679" s="143"/>
      <c r="G679" s="143"/>
      <c r="H679" s="143"/>
      <c r="I679" s="143"/>
      <c r="J679" s="143"/>
      <c r="K679" s="143"/>
      <c r="L679" s="144"/>
      <c r="M679" s="143"/>
      <c r="N679" s="145"/>
      <c r="O679" s="146"/>
      <c r="P679" s="144"/>
      <c r="Q679" s="147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  <c r="AC679" s="148"/>
      <c r="AD679" s="149"/>
      <c r="AE679" s="150"/>
      <c r="AF679" s="151"/>
      <c r="AG679" s="152"/>
      <c r="AH679" s="149"/>
    </row>
    <row r="680" customFormat="false" ht="12" hidden="false" customHeight="false" outlineLevel="0" collapsed="false">
      <c r="A680" s="134"/>
      <c r="B680" s="135"/>
      <c r="C680" s="143"/>
      <c r="D680" s="143"/>
      <c r="E680" s="143"/>
      <c r="F680" s="143"/>
      <c r="G680" s="143"/>
      <c r="H680" s="143"/>
      <c r="I680" s="143"/>
      <c r="J680" s="143"/>
      <c r="K680" s="143"/>
      <c r="L680" s="144"/>
      <c r="M680" s="143"/>
      <c r="N680" s="145"/>
      <c r="O680" s="146"/>
      <c r="P680" s="144"/>
      <c r="Q680" s="147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  <c r="AC680" s="148"/>
      <c r="AD680" s="149"/>
      <c r="AE680" s="150"/>
      <c r="AF680" s="151"/>
      <c r="AG680" s="152"/>
      <c r="AH680" s="149"/>
    </row>
    <row r="681" customFormat="false" ht="12" hidden="false" customHeight="false" outlineLevel="0" collapsed="false">
      <c r="A681" s="134"/>
      <c r="B681" s="135"/>
      <c r="C681" s="143"/>
      <c r="D681" s="143"/>
      <c r="E681" s="143"/>
      <c r="F681" s="143"/>
      <c r="G681" s="143"/>
      <c r="H681" s="143"/>
      <c r="I681" s="143"/>
      <c r="J681" s="143"/>
      <c r="K681" s="143"/>
      <c r="L681" s="144"/>
      <c r="M681" s="143"/>
      <c r="N681" s="145"/>
      <c r="O681" s="146"/>
      <c r="P681" s="144"/>
      <c r="Q681" s="147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  <c r="AC681" s="148"/>
      <c r="AD681" s="149"/>
      <c r="AE681" s="150"/>
      <c r="AF681" s="151"/>
      <c r="AG681" s="152"/>
      <c r="AH681" s="149"/>
    </row>
    <row r="682" customFormat="false" ht="12" hidden="false" customHeight="false" outlineLevel="0" collapsed="false">
      <c r="A682" s="134"/>
      <c r="B682" s="135"/>
      <c r="C682" s="143"/>
      <c r="D682" s="143"/>
      <c r="E682" s="143"/>
      <c r="F682" s="143"/>
      <c r="G682" s="143"/>
      <c r="H682" s="143"/>
      <c r="I682" s="143"/>
      <c r="J682" s="143"/>
      <c r="K682" s="143"/>
      <c r="L682" s="144"/>
      <c r="M682" s="143"/>
      <c r="N682" s="145"/>
      <c r="O682" s="146"/>
      <c r="P682" s="144"/>
      <c r="Q682" s="147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  <c r="AC682" s="148"/>
      <c r="AD682" s="149"/>
      <c r="AE682" s="150"/>
      <c r="AF682" s="151"/>
      <c r="AG682" s="152"/>
      <c r="AH682" s="149"/>
    </row>
    <row r="683" customFormat="false" ht="12" hidden="false" customHeight="false" outlineLevel="0" collapsed="false">
      <c r="A683" s="134"/>
      <c r="B683" s="135"/>
      <c r="C683" s="143"/>
      <c r="D683" s="143"/>
      <c r="E683" s="143"/>
      <c r="F683" s="143"/>
      <c r="G683" s="143"/>
      <c r="H683" s="143"/>
      <c r="I683" s="143"/>
      <c r="J683" s="143"/>
      <c r="K683" s="143"/>
      <c r="L683" s="144"/>
      <c r="M683" s="143"/>
      <c r="N683" s="145"/>
      <c r="O683" s="146"/>
      <c r="P683" s="144"/>
      <c r="Q683" s="147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  <c r="AD683" s="149"/>
      <c r="AE683" s="150"/>
      <c r="AF683" s="151"/>
      <c r="AG683" s="152"/>
      <c r="AH683" s="149"/>
    </row>
    <row r="684" customFormat="false" ht="12" hidden="false" customHeight="false" outlineLevel="0" collapsed="false">
      <c r="A684" s="134"/>
      <c r="B684" s="135"/>
      <c r="C684" s="143"/>
      <c r="D684" s="143"/>
      <c r="E684" s="143"/>
      <c r="F684" s="143"/>
      <c r="G684" s="143"/>
      <c r="H684" s="143"/>
      <c r="I684" s="143"/>
      <c r="J684" s="143"/>
      <c r="K684" s="143"/>
      <c r="L684" s="144"/>
      <c r="M684" s="143"/>
      <c r="N684" s="145"/>
      <c r="O684" s="146"/>
      <c r="P684" s="144"/>
      <c r="Q684" s="147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  <c r="AC684" s="148"/>
      <c r="AD684" s="149"/>
      <c r="AE684" s="150"/>
      <c r="AF684" s="151"/>
      <c r="AG684" s="152"/>
      <c r="AH684" s="149"/>
    </row>
    <row r="685" customFormat="false" ht="12" hidden="false" customHeight="false" outlineLevel="0" collapsed="false">
      <c r="A685" s="134"/>
      <c r="B685" s="135"/>
      <c r="C685" s="143"/>
      <c r="D685" s="143"/>
      <c r="E685" s="143"/>
      <c r="F685" s="143"/>
      <c r="G685" s="143"/>
      <c r="H685" s="143"/>
      <c r="I685" s="143"/>
      <c r="J685" s="143"/>
      <c r="K685" s="143"/>
      <c r="L685" s="144"/>
      <c r="M685" s="143"/>
      <c r="N685" s="145"/>
      <c r="O685" s="146"/>
      <c r="P685" s="144"/>
      <c r="Q685" s="147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  <c r="AC685" s="148"/>
      <c r="AD685" s="149"/>
      <c r="AE685" s="150"/>
      <c r="AF685" s="151"/>
      <c r="AG685" s="152"/>
      <c r="AH685" s="149"/>
    </row>
    <row r="686" customFormat="false" ht="12" hidden="false" customHeight="false" outlineLevel="0" collapsed="false">
      <c r="A686" s="134"/>
      <c r="B686" s="135"/>
      <c r="C686" s="143"/>
      <c r="D686" s="143"/>
      <c r="E686" s="143"/>
      <c r="F686" s="143"/>
      <c r="G686" s="143"/>
      <c r="H686" s="143"/>
      <c r="I686" s="143"/>
      <c r="J686" s="143"/>
      <c r="K686" s="143"/>
      <c r="L686" s="144"/>
      <c r="M686" s="143"/>
      <c r="N686" s="145"/>
      <c r="O686" s="146"/>
      <c r="P686" s="144"/>
      <c r="Q686" s="147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  <c r="AC686" s="148"/>
      <c r="AD686" s="149"/>
      <c r="AE686" s="150"/>
      <c r="AF686" s="151"/>
      <c r="AG686" s="152"/>
      <c r="AH686" s="149"/>
    </row>
    <row r="687" customFormat="false" ht="12" hidden="false" customHeight="false" outlineLevel="0" collapsed="false">
      <c r="A687" s="134"/>
      <c r="B687" s="135"/>
      <c r="C687" s="143"/>
      <c r="D687" s="143"/>
      <c r="E687" s="143"/>
      <c r="F687" s="143"/>
      <c r="G687" s="143"/>
      <c r="H687" s="143"/>
      <c r="I687" s="143"/>
      <c r="J687" s="143"/>
      <c r="K687" s="143"/>
      <c r="L687" s="144"/>
      <c r="M687" s="143"/>
      <c r="N687" s="145"/>
      <c r="O687" s="146"/>
      <c r="P687" s="144"/>
      <c r="Q687" s="147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  <c r="AC687" s="148"/>
      <c r="AD687" s="149"/>
      <c r="AE687" s="150"/>
      <c r="AF687" s="151"/>
      <c r="AG687" s="152"/>
      <c r="AH687" s="149"/>
    </row>
    <row r="688" customFormat="false" ht="12" hidden="false" customHeight="false" outlineLevel="0" collapsed="false">
      <c r="A688" s="134"/>
      <c r="B688" s="135"/>
      <c r="C688" s="143"/>
      <c r="D688" s="143"/>
      <c r="E688" s="143"/>
      <c r="F688" s="143"/>
      <c r="G688" s="143"/>
      <c r="H688" s="143"/>
      <c r="I688" s="143"/>
      <c r="J688" s="143"/>
      <c r="K688" s="143"/>
      <c r="L688" s="144"/>
      <c r="M688" s="143"/>
      <c r="N688" s="145"/>
      <c r="O688" s="146"/>
      <c r="P688" s="144"/>
      <c r="Q688" s="147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  <c r="AC688" s="148"/>
      <c r="AD688" s="149"/>
      <c r="AE688" s="150"/>
      <c r="AF688" s="151"/>
      <c r="AG688" s="152"/>
      <c r="AH688" s="149"/>
    </row>
    <row r="689" customFormat="false" ht="12" hidden="false" customHeight="false" outlineLevel="0" collapsed="false">
      <c r="A689" s="134"/>
      <c r="B689" s="135"/>
      <c r="C689" s="143"/>
      <c r="D689" s="143"/>
      <c r="E689" s="143"/>
      <c r="F689" s="143"/>
      <c r="G689" s="143"/>
      <c r="H689" s="143"/>
      <c r="I689" s="143"/>
      <c r="J689" s="143"/>
      <c r="K689" s="143"/>
      <c r="L689" s="144"/>
      <c r="M689" s="143"/>
      <c r="N689" s="145"/>
      <c r="O689" s="146"/>
      <c r="P689" s="144"/>
      <c r="Q689" s="147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  <c r="AC689" s="148"/>
      <c r="AD689" s="149"/>
      <c r="AE689" s="150"/>
      <c r="AF689" s="151"/>
      <c r="AG689" s="152"/>
      <c r="AH689" s="149"/>
    </row>
    <row r="690" customFormat="false" ht="12" hidden="false" customHeight="false" outlineLevel="0" collapsed="false">
      <c r="A690" s="134"/>
      <c r="B690" s="135"/>
      <c r="C690" s="143"/>
      <c r="D690" s="143"/>
      <c r="E690" s="143"/>
      <c r="F690" s="143"/>
      <c r="G690" s="143"/>
      <c r="H690" s="143"/>
      <c r="I690" s="143"/>
      <c r="J690" s="143"/>
      <c r="K690" s="143"/>
      <c r="L690" s="144"/>
      <c r="M690" s="143"/>
      <c r="N690" s="145"/>
      <c r="O690" s="146"/>
      <c r="P690" s="144"/>
      <c r="Q690" s="147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  <c r="AC690" s="148"/>
      <c r="AD690" s="149"/>
      <c r="AE690" s="150"/>
      <c r="AF690" s="151"/>
      <c r="AG690" s="152"/>
      <c r="AH690" s="149"/>
    </row>
    <row r="691" customFormat="false" ht="12" hidden="false" customHeight="false" outlineLevel="0" collapsed="false">
      <c r="A691" s="134"/>
      <c r="B691" s="135"/>
      <c r="C691" s="143"/>
      <c r="D691" s="143"/>
      <c r="E691" s="143"/>
      <c r="F691" s="143"/>
      <c r="G691" s="143"/>
      <c r="H691" s="143"/>
      <c r="I691" s="143"/>
      <c r="J691" s="143"/>
      <c r="K691" s="143"/>
      <c r="L691" s="144"/>
      <c r="M691" s="143"/>
      <c r="N691" s="145"/>
      <c r="O691" s="146"/>
      <c r="P691" s="144"/>
      <c r="Q691" s="147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  <c r="AC691" s="148"/>
      <c r="AD691" s="149"/>
      <c r="AE691" s="150"/>
      <c r="AF691" s="151"/>
      <c r="AG691" s="152"/>
      <c r="AH691" s="149"/>
    </row>
    <row r="692" customFormat="false" ht="12" hidden="false" customHeight="false" outlineLevel="0" collapsed="false">
      <c r="A692" s="134"/>
      <c r="B692" s="135"/>
      <c r="C692" s="143"/>
      <c r="D692" s="143"/>
      <c r="E692" s="143"/>
      <c r="F692" s="143"/>
      <c r="G692" s="143"/>
      <c r="H692" s="143"/>
      <c r="I692" s="143"/>
      <c r="J692" s="143"/>
      <c r="K692" s="143"/>
      <c r="L692" s="144"/>
      <c r="M692" s="143"/>
      <c r="N692" s="145"/>
      <c r="O692" s="146"/>
      <c r="P692" s="144"/>
      <c r="Q692" s="147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  <c r="AC692" s="148"/>
      <c r="AD692" s="149"/>
      <c r="AE692" s="150"/>
      <c r="AF692" s="151"/>
      <c r="AG692" s="152"/>
      <c r="AH692" s="149"/>
    </row>
    <row r="693" customFormat="false" ht="12" hidden="false" customHeight="false" outlineLevel="0" collapsed="false">
      <c r="A693" s="134"/>
      <c r="B693" s="135"/>
      <c r="C693" s="143"/>
      <c r="D693" s="143"/>
      <c r="E693" s="143"/>
      <c r="F693" s="143"/>
      <c r="G693" s="143"/>
      <c r="H693" s="143"/>
      <c r="I693" s="143"/>
      <c r="J693" s="143"/>
      <c r="K693" s="143"/>
      <c r="L693" s="144"/>
      <c r="M693" s="143"/>
      <c r="N693" s="145"/>
      <c r="O693" s="146"/>
      <c r="P693" s="144"/>
      <c r="Q693" s="147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  <c r="AC693" s="148"/>
      <c r="AD693" s="149"/>
      <c r="AE693" s="150"/>
      <c r="AF693" s="151"/>
      <c r="AG693" s="152"/>
      <c r="AH693" s="149"/>
    </row>
    <row r="694" customFormat="false" ht="12" hidden="false" customHeight="false" outlineLevel="0" collapsed="false">
      <c r="A694" s="134"/>
      <c r="B694" s="135"/>
      <c r="C694" s="143"/>
      <c r="D694" s="143"/>
      <c r="E694" s="143"/>
      <c r="F694" s="143"/>
      <c r="G694" s="143"/>
      <c r="H694" s="143"/>
      <c r="I694" s="143"/>
      <c r="J694" s="143"/>
      <c r="K694" s="143"/>
      <c r="L694" s="144"/>
      <c r="M694" s="143"/>
      <c r="N694" s="145"/>
      <c r="O694" s="146"/>
      <c r="P694" s="144"/>
      <c r="Q694" s="147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  <c r="AC694" s="148"/>
      <c r="AD694" s="149"/>
      <c r="AE694" s="150"/>
      <c r="AF694" s="151"/>
      <c r="AG694" s="152"/>
      <c r="AH694" s="149"/>
    </row>
    <row r="695" customFormat="false" ht="12" hidden="false" customHeight="false" outlineLevel="0" collapsed="false">
      <c r="A695" s="134"/>
      <c r="B695" s="135"/>
      <c r="C695" s="143"/>
      <c r="D695" s="143"/>
      <c r="E695" s="143"/>
      <c r="F695" s="143"/>
      <c r="G695" s="143"/>
      <c r="H695" s="143"/>
      <c r="I695" s="143"/>
      <c r="J695" s="143"/>
      <c r="K695" s="143"/>
      <c r="L695" s="144"/>
      <c r="M695" s="143"/>
      <c r="N695" s="145"/>
      <c r="O695" s="146"/>
      <c r="P695" s="144"/>
      <c r="Q695" s="147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  <c r="AC695" s="148"/>
      <c r="AD695" s="149"/>
      <c r="AE695" s="150"/>
      <c r="AF695" s="151"/>
      <c r="AG695" s="152"/>
      <c r="AH695" s="149"/>
    </row>
    <row r="696" customFormat="false" ht="12" hidden="false" customHeight="false" outlineLevel="0" collapsed="false">
      <c r="A696" s="134"/>
      <c r="B696" s="135"/>
      <c r="C696" s="143"/>
      <c r="D696" s="143"/>
      <c r="E696" s="143"/>
      <c r="F696" s="143"/>
      <c r="G696" s="143"/>
      <c r="H696" s="143"/>
      <c r="I696" s="143"/>
      <c r="J696" s="143"/>
      <c r="K696" s="143"/>
      <c r="L696" s="144"/>
      <c r="M696" s="143"/>
      <c r="N696" s="145"/>
      <c r="O696" s="146"/>
      <c r="P696" s="144"/>
      <c r="Q696" s="147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  <c r="AC696" s="148"/>
      <c r="AD696" s="149"/>
      <c r="AE696" s="150"/>
      <c r="AF696" s="151"/>
      <c r="AG696" s="152"/>
      <c r="AH696" s="149"/>
    </row>
    <row r="697" customFormat="false" ht="12" hidden="false" customHeight="false" outlineLevel="0" collapsed="false">
      <c r="A697" s="134"/>
      <c r="B697" s="135"/>
      <c r="C697" s="143"/>
      <c r="D697" s="143"/>
      <c r="E697" s="143"/>
      <c r="F697" s="143"/>
      <c r="G697" s="143"/>
      <c r="H697" s="143"/>
      <c r="I697" s="143"/>
      <c r="J697" s="143"/>
      <c r="K697" s="143"/>
      <c r="L697" s="144"/>
      <c r="M697" s="143"/>
      <c r="N697" s="145"/>
      <c r="O697" s="146"/>
      <c r="P697" s="144"/>
      <c r="Q697" s="147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  <c r="AC697" s="148"/>
      <c r="AD697" s="149"/>
      <c r="AE697" s="150"/>
      <c r="AF697" s="151"/>
      <c r="AG697" s="152"/>
      <c r="AH697" s="149"/>
    </row>
    <row r="698" customFormat="false" ht="12" hidden="false" customHeight="false" outlineLevel="0" collapsed="false">
      <c r="A698" s="134"/>
      <c r="B698" s="135"/>
      <c r="C698" s="143"/>
      <c r="D698" s="143"/>
      <c r="E698" s="143"/>
      <c r="F698" s="143"/>
      <c r="G698" s="143"/>
      <c r="H698" s="143"/>
      <c r="I698" s="143"/>
      <c r="J698" s="143"/>
      <c r="K698" s="143"/>
      <c r="L698" s="144"/>
      <c r="M698" s="143"/>
      <c r="N698" s="145"/>
      <c r="O698" s="146"/>
      <c r="P698" s="144"/>
      <c r="Q698" s="147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  <c r="AC698" s="148"/>
      <c r="AD698" s="149"/>
      <c r="AE698" s="150"/>
      <c r="AF698" s="151"/>
      <c r="AG698" s="152"/>
      <c r="AH698" s="149"/>
    </row>
    <row r="699" customFormat="false" ht="12" hidden="false" customHeight="false" outlineLevel="0" collapsed="false">
      <c r="A699" s="134"/>
      <c r="B699" s="135"/>
      <c r="C699" s="143"/>
      <c r="D699" s="143"/>
      <c r="E699" s="143"/>
      <c r="F699" s="143"/>
      <c r="G699" s="143"/>
      <c r="H699" s="143"/>
      <c r="I699" s="143"/>
      <c r="J699" s="143"/>
      <c r="K699" s="143"/>
      <c r="L699" s="144"/>
      <c r="M699" s="143"/>
      <c r="N699" s="145"/>
      <c r="O699" s="146"/>
      <c r="P699" s="144"/>
      <c r="Q699" s="147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  <c r="AC699" s="148"/>
      <c r="AD699" s="149"/>
      <c r="AE699" s="150"/>
      <c r="AF699" s="151"/>
      <c r="AG699" s="152"/>
      <c r="AH699" s="149"/>
    </row>
    <row r="700" customFormat="false" ht="12" hidden="false" customHeight="false" outlineLevel="0" collapsed="false">
      <c r="A700" s="134"/>
      <c r="B700" s="135"/>
      <c r="C700" s="143"/>
      <c r="D700" s="143"/>
      <c r="E700" s="143"/>
      <c r="F700" s="143"/>
      <c r="G700" s="143"/>
      <c r="H700" s="143"/>
      <c r="I700" s="143"/>
      <c r="J700" s="143"/>
      <c r="K700" s="143"/>
      <c r="L700" s="144"/>
      <c r="M700" s="143"/>
      <c r="N700" s="145"/>
      <c r="O700" s="146"/>
      <c r="P700" s="144"/>
      <c r="Q700" s="147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  <c r="AC700" s="148"/>
      <c r="AD700" s="149"/>
      <c r="AE700" s="150"/>
      <c r="AF700" s="151"/>
      <c r="AG700" s="152"/>
      <c r="AH700" s="149"/>
    </row>
    <row r="701" customFormat="false" ht="12" hidden="false" customHeight="false" outlineLevel="0" collapsed="false">
      <c r="A701" s="134"/>
      <c r="B701" s="135"/>
      <c r="C701" s="143"/>
      <c r="D701" s="143"/>
      <c r="E701" s="143"/>
      <c r="F701" s="143"/>
      <c r="G701" s="143"/>
      <c r="H701" s="143"/>
      <c r="I701" s="143"/>
      <c r="J701" s="143"/>
      <c r="K701" s="143"/>
      <c r="L701" s="144"/>
      <c r="M701" s="143"/>
      <c r="N701" s="145"/>
      <c r="O701" s="146"/>
      <c r="P701" s="144"/>
      <c r="Q701" s="147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  <c r="AC701" s="148"/>
      <c r="AD701" s="149"/>
      <c r="AE701" s="150"/>
      <c r="AF701" s="151"/>
      <c r="AG701" s="152"/>
      <c r="AH701" s="149"/>
    </row>
    <row r="702" customFormat="false" ht="12" hidden="false" customHeight="false" outlineLevel="0" collapsed="false">
      <c r="A702" s="134"/>
      <c r="B702" s="135"/>
      <c r="C702" s="143"/>
      <c r="D702" s="143"/>
      <c r="E702" s="143"/>
      <c r="F702" s="143"/>
      <c r="G702" s="143"/>
      <c r="H702" s="143"/>
      <c r="I702" s="143"/>
      <c r="J702" s="143"/>
      <c r="K702" s="143"/>
      <c r="L702" s="144"/>
      <c r="M702" s="143"/>
      <c r="N702" s="145"/>
      <c r="O702" s="146"/>
      <c r="P702" s="144"/>
      <c r="Q702" s="147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  <c r="AC702" s="148"/>
      <c r="AD702" s="149"/>
      <c r="AE702" s="150"/>
      <c r="AF702" s="151"/>
      <c r="AG702" s="152"/>
      <c r="AH702" s="149"/>
    </row>
    <row r="703" customFormat="false" ht="12" hidden="false" customHeight="false" outlineLevel="0" collapsed="false">
      <c r="A703" s="134"/>
      <c r="B703" s="135"/>
      <c r="C703" s="143"/>
      <c r="D703" s="143"/>
      <c r="E703" s="143"/>
      <c r="F703" s="143"/>
      <c r="G703" s="143"/>
      <c r="H703" s="143"/>
      <c r="I703" s="143"/>
      <c r="J703" s="143"/>
      <c r="K703" s="143"/>
      <c r="L703" s="144"/>
      <c r="M703" s="143"/>
      <c r="N703" s="145"/>
      <c r="O703" s="146"/>
      <c r="P703" s="144"/>
      <c r="Q703" s="147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  <c r="AC703" s="148"/>
      <c r="AD703" s="149"/>
      <c r="AE703" s="150"/>
      <c r="AF703" s="151"/>
      <c r="AG703" s="152"/>
      <c r="AH703" s="149"/>
    </row>
    <row r="704" customFormat="false" ht="12" hidden="false" customHeight="false" outlineLevel="0" collapsed="false">
      <c r="A704" s="134"/>
      <c r="B704" s="135"/>
      <c r="C704" s="143"/>
      <c r="D704" s="143"/>
      <c r="E704" s="143"/>
      <c r="F704" s="143"/>
      <c r="G704" s="143"/>
      <c r="H704" s="143"/>
      <c r="I704" s="143"/>
      <c r="J704" s="143"/>
      <c r="K704" s="143"/>
      <c r="L704" s="144"/>
      <c r="M704" s="143"/>
      <c r="N704" s="145"/>
      <c r="O704" s="146"/>
      <c r="P704" s="144"/>
      <c r="Q704" s="147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  <c r="AC704" s="148"/>
      <c r="AD704" s="149"/>
      <c r="AE704" s="150"/>
      <c r="AF704" s="151"/>
      <c r="AG704" s="152"/>
      <c r="AH704" s="149"/>
    </row>
    <row r="705" customFormat="false" ht="12" hidden="false" customHeight="false" outlineLevel="0" collapsed="false">
      <c r="A705" s="134"/>
      <c r="B705" s="135"/>
      <c r="C705" s="143"/>
      <c r="D705" s="143"/>
      <c r="E705" s="143"/>
      <c r="F705" s="143"/>
      <c r="G705" s="143"/>
      <c r="H705" s="143"/>
      <c r="I705" s="143"/>
      <c r="J705" s="143"/>
      <c r="K705" s="143"/>
      <c r="L705" s="144"/>
      <c r="M705" s="143"/>
      <c r="N705" s="145"/>
      <c r="O705" s="146"/>
      <c r="P705" s="144"/>
      <c r="Q705" s="147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  <c r="AC705" s="148"/>
      <c r="AD705" s="149"/>
      <c r="AE705" s="150"/>
      <c r="AF705" s="151"/>
      <c r="AG705" s="152"/>
      <c r="AH705" s="149"/>
    </row>
    <row r="706" customFormat="false" ht="12" hidden="false" customHeight="false" outlineLevel="0" collapsed="false">
      <c r="A706" s="134"/>
      <c r="B706" s="135"/>
      <c r="C706" s="143"/>
      <c r="D706" s="143"/>
      <c r="E706" s="143"/>
      <c r="F706" s="143"/>
      <c r="G706" s="143"/>
      <c r="H706" s="143"/>
      <c r="I706" s="143"/>
      <c r="J706" s="143"/>
      <c r="K706" s="143"/>
      <c r="L706" s="144"/>
      <c r="M706" s="143"/>
      <c r="N706" s="145"/>
      <c r="O706" s="146"/>
      <c r="P706" s="144"/>
      <c r="Q706" s="147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  <c r="AC706" s="148"/>
      <c r="AD706" s="149"/>
      <c r="AE706" s="150"/>
      <c r="AF706" s="151"/>
      <c r="AG706" s="152"/>
      <c r="AH706" s="149"/>
    </row>
    <row r="707" customFormat="false" ht="12" hidden="false" customHeight="false" outlineLevel="0" collapsed="false">
      <c r="A707" s="134"/>
      <c r="B707" s="135"/>
      <c r="C707" s="143"/>
      <c r="D707" s="143"/>
      <c r="E707" s="143"/>
      <c r="F707" s="143"/>
      <c r="G707" s="143"/>
      <c r="H707" s="143"/>
      <c r="I707" s="143"/>
      <c r="J707" s="143"/>
      <c r="K707" s="143"/>
      <c r="L707" s="144"/>
      <c r="M707" s="143"/>
      <c r="N707" s="145"/>
      <c r="O707" s="146"/>
      <c r="P707" s="144"/>
      <c r="Q707" s="147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  <c r="AC707" s="148"/>
      <c r="AD707" s="149"/>
      <c r="AE707" s="150"/>
      <c r="AF707" s="151"/>
      <c r="AG707" s="152"/>
      <c r="AH707" s="149"/>
    </row>
    <row r="708" customFormat="false" ht="12" hidden="false" customHeight="false" outlineLevel="0" collapsed="false">
      <c r="A708" s="134"/>
      <c r="B708" s="135"/>
      <c r="C708" s="143"/>
      <c r="D708" s="143"/>
      <c r="E708" s="143"/>
      <c r="F708" s="143"/>
      <c r="G708" s="143"/>
      <c r="H708" s="143"/>
      <c r="I708" s="143"/>
      <c r="J708" s="143"/>
      <c r="K708" s="143"/>
      <c r="L708" s="144"/>
      <c r="M708" s="143"/>
      <c r="N708" s="145"/>
      <c r="O708" s="146"/>
      <c r="P708" s="144"/>
      <c r="Q708" s="147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  <c r="AC708" s="148"/>
      <c r="AD708" s="149"/>
      <c r="AE708" s="150"/>
      <c r="AF708" s="151"/>
      <c r="AG708" s="152"/>
      <c r="AH708" s="149"/>
    </row>
    <row r="709" customFormat="false" ht="12" hidden="false" customHeight="false" outlineLevel="0" collapsed="false">
      <c r="A709" s="134"/>
      <c r="B709" s="135"/>
      <c r="C709" s="143"/>
      <c r="D709" s="143"/>
      <c r="E709" s="143"/>
      <c r="F709" s="143"/>
      <c r="G709" s="143"/>
      <c r="H709" s="143"/>
      <c r="I709" s="143"/>
      <c r="J709" s="143"/>
      <c r="K709" s="143"/>
      <c r="L709" s="144"/>
      <c r="M709" s="143"/>
      <c r="N709" s="145"/>
      <c r="O709" s="146"/>
      <c r="P709" s="144"/>
      <c r="Q709" s="147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  <c r="AC709" s="148"/>
      <c r="AD709" s="149"/>
      <c r="AE709" s="150"/>
      <c r="AF709" s="151"/>
      <c r="AG709" s="152"/>
      <c r="AH709" s="149"/>
    </row>
    <row r="710" customFormat="false" ht="12" hidden="false" customHeight="false" outlineLevel="0" collapsed="false">
      <c r="A710" s="134"/>
      <c r="B710" s="135"/>
      <c r="C710" s="143"/>
      <c r="D710" s="143"/>
      <c r="E710" s="143"/>
      <c r="F710" s="143"/>
      <c r="G710" s="143"/>
      <c r="H710" s="143"/>
      <c r="I710" s="143"/>
      <c r="J710" s="143"/>
      <c r="K710" s="143"/>
      <c r="L710" s="144"/>
      <c r="M710" s="143"/>
      <c r="N710" s="145"/>
      <c r="O710" s="146"/>
      <c r="P710" s="144"/>
      <c r="Q710" s="147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  <c r="AC710" s="148"/>
      <c r="AD710" s="149"/>
      <c r="AE710" s="150"/>
      <c r="AF710" s="151"/>
      <c r="AG710" s="152"/>
      <c r="AH710" s="149"/>
    </row>
    <row r="711" customFormat="false" ht="12" hidden="false" customHeight="false" outlineLevel="0" collapsed="false">
      <c r="A711" s="134"/>
      <c r="B711" s="135"/>
      <c r="C711" s="143"/>
      <c r="D711" s="143"/>
      <c r="E711" s="143"/>
      <c r="F711" s="143"/>
      <c r="G711" s="143"/>
      <c r="H711" s="143"/>
      <c r="I711" s="143"/>
      <c r="J711" s="143"/>
      <c r="K711" s="143"/>
      <c r="L711" s="144"/>
      <c r="M711" s="143"/>
      <c r="N711" s="145"/>
      <c r="O711" s="146"/>
      <c r="P711" s="144"/>
      <c r="Q711" s="147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  <c r="AC711" s="148"/>
      <c r="AD711" s="149"/>
      <c r="AE711" s="150"/>
      <c r="AF711" s="151"/>
      <c r="AG711" s="152"/>
      <c r="AH711" s="149"/>
    </row>
    <row r="712" customFormat="false" ht="12" hidden="false" customHeight="false" outlineLevel="0" collapsed="false">
      <c r="A712" s="134"/>
      <c r="B712" s="135"/>
      <c r="C712" s="143"/>
      <c r="D712" s="143"/>
      <c r="E712" s="143"/>
      <c r="F712" s="143"/>
      <c r="G712" s="143"/>
      <c r="H712" s="143"/>
      <c r="I712" s="143"/>
      <c r="J712" s="143"/>
      <c r="K712" s="143"/>
      <c r="L712" s="144"/>
      <c r="M712" s="143"/>
      <c r="N712" s="145"/>
      <c r="O712" s="146"/>
      <c r="P712" s="144"/>
      <c r="Q712" s="147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  <c r="AC712" s="148"/>
      <c r="AD712" s="149"/>
      <c r="AE712" s="150"/>
      <c r="AF712" s="151"/>
      <c r="AG712" s="152"/>
      <c r="AH712" s="149"/>
    </row>
    <row r="713" customFormat="false" ht="12" hidden="false" customHeight="false" outlineLevel="0" collapsed="false">
      <c r="A713" s="134"/>
      <c r="B713" s="135"/>
      <c r="C713" s="143"/>
      <c r="D713" s="143"/>
      <c r="E713" s="143"/>
      <c r="F713" s="143"/>
      <c r="G713" s="143"/>
      <c r="H713" s="143"/>
      <c r="I713" s="143"/>
      <c r="J713" s="143"/>
      <c r="K713" s="143"/>
      <c r="L713" s="144"/>
      <c r="M713" s="143"/>
      <c r="N713" s="145"/>
      <c r="O713" s="146"/>
      <c r="P713" s="144"/>
      <c r="Q713" s="147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  <c r="AC713" s="148"/>
      <c r="AD713" s="149"/>
      <c r="AE713" s="150"/>
      <c r="AF713" s="151"/>
      <c r="AG713" s="152"/>
      <c r="AH713" s="149"/>
    </row>
    <row r="714" customFormat="false" ht="12" hidden="false" customHeight="false" outlineLevel="0" collapsed="false">
      <c r="A714" s="134"/>
      <c r="B714" s="135"/>
      <c r="C714" s="143"/>
      <c r="D714" s="143"/>
      <c r="E714" s="143"/>
      <c r="F714" s="143"/>
      <c r="G714" s="143"/>
      <c r="H714" s="143"/>
      <c r="I714" s="143"/>
      <c r="J714" s="143"/>
      <c r="K714" s="143"/>
      <c r="L714" s="144"/>
      <c r="M714" s="143"/>
      <c r="N714" s="145"/>
      <c r="O714" s="146"/>
      <c r="P714" s="144"/>
      <c r="Q714" s="147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  <c r="AC714" s="148"/>
      <c r="AD714" s="149"/>
      <c r="AE714" s="150"/>
      <c r="AF714" s="151"/>
      <c r="AG714" s="152"/>
      <c r="AH714" s="149"/>
    </row>
    <row r="715" customFormat="false" ht="12" hidden="false" customHeight="false" outlineLevel="0" collapsed="false">
      <c r="A715" s="134"/>
      <c r="B715" s="135"/>
      <c r="C715" s="143"/>
      <c r="D715" s="143"/>
      <c r="E715" s="143"/>
      <c r="F715" s="143"/>
      <c r="G715" s="143"/>
      <c r="H715" s="143"/>
      <c r="I715" s="143"/>
      <c r="J715" s="143"/>
      <c r="K715" s="143"/>
      <c r="L715" s="144"/>
      <c r="M715" s="143"/>
      <c r="N715" s="145"/>
      <c r="O715" s="146"/>
      <c r="P715" s="144"/>
      <c r="Q715" s="147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  <c r="AC715" s="148"/>
      <c r="AD715" s="149"/>
      <c r="AE715" s="150"/>
      <c r="AF715" s="151"/>
      <c r="AG715" s="152"/>
      <c r="AH715" s="149"/>
    </row>
    <row r="716" customFormat="false" ht="12" hidden="false" customHeight="false" outlineLevel="0" collapsed="false">
      <c r="A716" s="134"/>
      <c r="B716" s="135"/>
      <c r="C716" s="143"/>
      <c r="D716" s="143"/>
      <c r="E716" s="143"/>
      <c r="F716" s="143"/>
      <c r="G716" s="143"/>
      <c r="H716" s="143"/>
      <c r="I716" s="143"/>
      <c r="J716" s="143"/>
      <c r="K716" s="143"/>
      <c r="L716" s="144"/>
      <c r="M716" s="143"/>
      <c r="N716" s="145"/>
      <c r="O716" s="146"/>
      <c r="P716" s="144"/>
      <c r="Q716" s="147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  <c r="AC716" s="148"/>
      <c r="AD716" s="149"/>
      <c r="AE716" s="150"/>
      <c r="AF716" s="151"/>
      <c r="AG716" s="152"/>
      <c r="AH716" s="149"/>
    </row>
    <row r="717" customFormat="false" ht="12" hidden="false" customHeight="false" outlineLevel="0" collapsed="false">
      <c r="A717" s="134"/>
      <c r="B717" s="135"/>
      <c r="C717" s="143"/>
      <c r="D717" s="143"/>
      <c r="E717" s="143"/>
      <c r="F717" s="143"/>
      <c r="G717" s="143"/>
      <c r="H717" s="143"/>
      <c r="I717" s="143"/>
      <c r="J717" s="143"/>
      <c r="K717" s="143"/>
      <c r="L717" s="144"/>
      <c r="M717" s="143"/>
      <c r="N717" s="145"/>
      <c r="O717" s="146"/>
      <c r="P717" s="144"/>
      <c r="Q717" s="147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  <c r="AC717" s="148"/>
      <c r="AD717" s="149"/>
      <c r="AE717" s="150"/>
      <c r="AF717" s="151"/>
      <c r="AG717" s="152"/>
      <c r="AH717" s="149"/>
    </row>
    <row r="718" customFormat="false" ht="12" hidden="false" customHeight="false" outlineLevel="0" collapsed="false">
      <c r="A718" s="134"/>
      <c r="B718" s="135"/>
      <c r="C718" s="143"/>
      <c r="D718" s="143"/>
      <c r="E718" s="143"/>
      <c r="F718" s="143"/>
      <c r="G718" s="143"/>
      <c r="H718" s="143"/>
      <c r="I718" s="143"/>
      <c r="J718" s="143"/>
      <c r="K718" s="143"/>
      <c r="L718" s="144"/>
      <c r="M718" s="143"/>
      <c r="N718" s="145"/>
      <c r="O718" s="146"/>
      <c r="P718" s="144"/>
      <c r="Q718" s="147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  <c r="AC718" s="148"/>
      <c r="AD718" s="149"/>
      <c r="AE718" s="150"/>
      <c r="AF718" s="151"/>
      <c r="AG718" s="152"/>
      <c r="AH718" s="149"/>
    </row>
    <row r="719" customFormat="false" ht="12" hidden="false" customHeight="false" outlineLevel="0" collapsed="false">
      <c r="A719" s="134"/>
      <c r="B719" s="135"/>
      <c r="C719" s="143"/>
      <c r="D719" s="143"/>
      <c r="E719" s="143"/>
      <c r="F719" s="143"/>
      <c r="G719" s="143"/>
      <c r="H719" s="143"/>
      <c r="I719" s="143"/>
      <c r="J719" s="143"/>
      <c r="K719" s="143"/>
      <c r="L719" s="144"/>
      <c r="M719" s="143"/>
      <c r="N719" s="145"/>
      <c r="O719" s="146"/>
      <c r="P719" s="144"/>
      <c r="Q719" s="147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  <c r="AC719" s="148"/>
      <c r="AD719" s="149"/>
      <c r="AE719" s="150"/>
      <c r="AF719" s="151"/>
      <c r="AG719" s="152"/>
      <c r="AH719" s="149"/>
    </row>
    <row r="720" customFormat="false" ht="12" hidden="false" customHeight="false" outlineLevel="0" collapsed="false">
      <c r="A720" s="134"/>
      <c r="B720" s="135"/>
      <c r="C720" s="143"/>
      <c r="D720" s="143"/>
      <c r="E720" s="143"/>
      <c r="F720" s="143"/>
      <c r="G720" s="143"/>
      <c r="H720" s="143"/>
      <c r="I720" s="143"/>
      <c r="J720" s="143"/>
      <c r="K720" s="143"/>
      <c r="L720" s="144"/>
      <c r="M720" s="143"/>
      <c r="N720" s="145"/>
      <c r="O720" s="146"/>
      <c r="P720" s="144"/>
      <c r="Q720" s="147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  <c r="AC720" s="148"/>
      <c r="AD720" s="149"/>
      <c r="AE720" s="150"/>
      <c r="AF720" s="151"/>
      <c r="AG720" s="152"/>
      <c r="AH720" s="149"/>
    </row>
    <row r="721" customFormat="false" ht="12" hidden="false" customHeight="false" outlineLevel="0" collapsed="false">
      <c r="A721" s="134"/>
      <c r="B721" s="135"/>
      <c r="C721" s="143"/>
      <c r="D721" s="143"/>
      <c r="E721" s="143"/>
      <c r="F721" s="143"/>
      <c r="G721" s="143"/>
      <c r="H721" s="143"/>
      <c r="I721" s="143"/>
      <c r="J721" s="143"/>
      <c r="K721" s="143"/>
      <c r="L721" s="144"/>
      <c r="M721" s="143"/>
      <c r="N721" s="145"/>
      <c r="O721" s="146"/>
      <c r="P721" s="144"/>
      <c r="Q721" s="147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  <c r="AC721" s="148"/>
      <c r="AD721" s="149"/>
      <c r="AE721" s="150"/>
      <c r="AF721" s="151"/>
      <c r="AG721" s="152"/>
      <c r="AH721" s="149"/>
    </row>
    <row r="722" customFormat="false" ht="12" hidden="false" customHeight="false" outlineLevel="0" collapsed="false">
      <c r="A722" s="134"/>
      <c r="B722" s="135"/>
      <c r="C722" s="143"/>
      <c r="D722" s="143"/>
      <c r="E722" s="143"/>
      <c r="F722" s="143"/>
      <c r="G722" s="143"/>
      <c r="H722" s="143"/>
      <c r="I722" s="143"/>
      <c r="J722" s="143"/>
      <c r="K722" s="143"/>
      <c r="L722" s="144"/>
      <c r="M722" s="143"/>
      <c r="N722" s="145"/>
      <c r="O722" s="146"/>
      <c r="P722" s="144"/>
      <c r="Q722" s="147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  <c r="AC722" s="148"/>
      <c r="AD722" s="149"/>
      <c r="AE722" s="150"/>
      <c r="AF722" s="151"/>
      <c r="AG722" s="152"/>
      <c r="AH722" s="149"/>
    </row>
    <row r="723" customFormat="false" ht="12" hidden="false" customHeight="false" outlineLevel="0" collapsed="false">
      <c r="A723" s="134"/>
      <c r="B723" s="135"/>
      <c r="C723" s="143"/>
      <c r="D723" s="143"/>
      <c r="E723" s="143"/>
      <c r="F723" s="143"/>
      <c r="G723" s="143"/>
      <c r="H723" s="143"/>
      <c r="I723" s="143"/>
      <c r="J723" s="143"/>
      <c r="K723" s="143"/>
      <c r="L723" s="144"/>
      <c r="M723" s="143"/>
      <c r="N723" s="145"/>
      <c r="O723" s="146"/>
      <c r="P723" s="144"/>
      <c r="Q723" s="147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  <c r="AC723" s="148"/>
      <c r="AD723" s="149"/>
      <c r="AE723" s="150"/>
      <c r="AF723" s="151"/>
      <c r="AG723" s="152"/>
      <c r="AH723" s="149"/>
    </row>
    <row r="724" customFormat="false" ht="12" hidden="false" customHeight="false" outlineLevel="0" collapsed="false">
      <c r="A724" s="134"/>
      <c r="B724" s="135"/>
      <c r="C724" s="143"/>
      <c r="D724" s="143"/>
      <c r="E724" s="143"/>
      <c r="F724" s="143"/>
      <c r="G724" s="143"/>
      <c r="H724" s="143"/>
      <c r="I724" s="143"/>
      <c r="J724" s="143"/>
      <c r="K724" s="143"/>
      <c r="L724" s="144"/>
      <c r="M724" s="143"/>
      <c r="N724" s="145"/>
      <c r="O724" s="146"/>
      <c r="P724" s="144"/>
      <c r="Q724" s="147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  <c r="AC724" s="148"/>
      <c r="AD724" s="149"/>
      <c r="AE724" s="150"/>
      <c r="AF724" s="151"/>
      <c r="AG724" s="152"/>
      <c r="AH724" s="149"/>
    </row>
    <row r="725" customFormat="false" ht="12" hidden="false" customHeight="false" outlineLevel="0" collapsed="false">
      <c r="A725" s="134"/>
      <c r="B725" s="135"/>
      <c r="C725" s="143"/>
      <c r="D725" s="143"/>
      <c r="E725" s="143"/>
      <c r="F725" s="143"/>
      <c r="G725" s="143"/>
      <c r="H725" s="143"/>
      <c r="I725" s="143"/>
      <c r="J725" s="143"/>
      <c r="K725" s="143"/>
      <c r="L725" s="144"/>
      <c r="M725" s="143"/>
      <c r="N725" s="145"/>
      <c r="O725" s="146"/>
      <c r="P725" s="144"/>
      <c r="Q725" s="147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  <c r="AC725" s="148"/>
      <c r="AD725" s="149"/>
      <c r="AE725" s="150"/>
      <c r="AF725" s="151"/>
      <c r="AG725" s="152"/>
      <c r="AH725" s="149"/>
    </row>
    <row r="726" customFormat="false" ht="12" hidden="false" customHeight="false" outlineLevel="0" collapsed="false">
      <c r="A726" s="134"/>
      <c r="B726" s="135"/>
      <c r="C726" s="143"/>
      <c r="D726" s="143"/>
      <c r="E726" s="143"/>
      <c r="F726" s="143"/>
      <c r="G726" s="143"/>
      <c r="H726" s="143"/>
      <c r="I726" s="143"/>
      <c r="J726" s="143"/>
      <c r="K726" s="143"/>
      <c r="L726" s="144"/>
      <c r="M726" s="143"/>
      <c r="N726" s="145"/>
      <c r="O726" s="146"/>
      <c r="P726" s="144"/>
      <c r="Q726" s="147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  <c r="AC726" s="148"/>
      <c r="AD726" s="149"/>
      <c r="AE726" s="150"/>
      <c r="AF726" s="151"/>
      <c r="AG726" s="152"/>
      <c r="AH726" s="149"/>
    </row>
    <row r="727" customFormat="false" ht="12" hidden="false" customHeight="false" outlineLevel="0" collapsed="false">
      <c r="A727" s="134"/>
      <c r="B727" s="135"/>
      <c r="C727" s="143"/>
      <c r="D727" s="143"/>
      <c r="E727" s="143"/>
      <c r="F727" s="143"/>
      <c r="G727" s="143"/>
      <c r="H727" s="143"/>
      <c r="I727" s="143"/>
      <c r="J727" s="143"/>
      <c r="K727" s="143"/>
      <c r="L727" s="144"/>
      <c r="M727" s="143"/>
      <c r="N727" s="145"/>
      <c r="O727" s="146"/>
      <c r="P727" s="144"/>
      <c r="Q727" s="147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  <c r="AC727" s="148"/>
      <c r="AD727" s="149"/>
      <c r="AE727" s="150"/>
      <c r="AF727" s="151"/>
      <c r="AG727" s="152"/>
      <c r="AH727" s="149"/>
    </row>
    <row r="728" customFormat="false" ht="12" hidden="false" customHeight="false" outlineLevel="0" collapsed="false">
      <c r="A728" s="134"/>
      <c r="B728" s="135"/>
      <c r="C728" s="143"/>
      <c r="D728" s="143"/>
      <c r="E728" s="143"/>
      <c r="F728" s="143"/>
      <c r="G728" s="143"/>
      <c r="H728" s="143"/>
      <c r="I728" s="143"/>
      <c r="J728" s="143"/>
      <c r="K728" s="143"/>
      <c r="L728" s="144"/>
      <c r="M728" s="143"/>
      <c r="N728" s="145"/>
      <c r="O728" s="146"/>
      <c r="P728" s="144"/>
      <c r="Q728" s="147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  <c r="AC728" s="148"/>
      <c r="AD728" s="149"/>
      <c r="AE728" s="150"/>
      <c r="AF728" s="151"/>
      <c r="AG728" s="152"/>
      <c r="AH728" s="149"/>
    </row>
    <row r="729" customFormat="false" ht="12" hidden="false" customHeight="false" outlineLevel="0" collapsed="false">
      <c r="A729" s="134"/>
      <c r="B729" s="135"/>
      <c r="C729" s="143"/>
      <c r="D729" s="143"/>
      <c r="E729" s="143"/>
      <c r="F729" s="143"/>
      <c r="G729" s="143"/>
      <c r="H729" s="143"/>
      <c r="I729" s="143"/>
      <c r="J729" s="143"/>
      <c r="K729" s="143"/>
      <c r="L729" s="144"/>
      <c r="M729" s="143"/>
      <c r="N729" s="145"/>
      <c r="O729" s="146"/>
      <c r="P729" s="144"/>
      <c r="Q729" s="147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  <c r="AC729" s="148"/>
      <c r="AD729" s="149"/>
      <c r="AE729" s="150"/>
      <c r="AF729" s="151"/>
      <c r="AG729" s="152"/>
      <c r="AH729" s="149"/>
    </row>
    <row r="730" customFormat="false" ht="12" hidden="false" customHeight="false" outlineLevel="0" collapsed="false">
      <c r="A730" s="134"/>
      <c r="B730" s="135"/>
      <c r="C730" s="143"/>
      <c r="D730" s="143"/>
      <c r="E730" s="143"/>
      <c r="F730" s="143"/>
      <c r="G730" s="143"/>
      <c r="H730" s="143"/>
      <c r="I730" s="143"/>
      <c r="J730" s="143"/>
      <c r="K730" s="143"/>
      <c r="L730" s="144"/>
      <c r="M730" s="143"/>
      <c r="N730" s="145"/>
      <c r="O730" s="146"/>
      <c r="P730" s="144"/>
      <c r="Q730" s="147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  <c r="AC730" s="148"/>
      <c r="AD730" s="149"/>
      <c r="AE730" s="150"/>
      <c r="AF730" s="151"/>
      <c r="AG730" s="152"/>
      <c r="AH730" s="149"/>
    </row>
    <row r="731" customFormat="false" ht="12" hidden="false" customHeight="false" outlineLevel="0" collapsed="false">
      <c r="A731" s="134"/>
      <c r="B731" s="135"/>
      <c r="C731" s="143"/>
      <c r="D731" s="143"/>
      <c r="E731" s="143"/>
      <c r="F731" s="143"/>
      <c r="G731" s="143"/>
      <c r="H731" s="143"/>
      <c r="I731" s="143"/>
      <c r="J731" s="143"/>
      <c r="K731" s="143"/>
      <c r="L731" s="144"/>
      <c r="M731" s="143"/>
      <c r="N731" s="145"/>
      <c r="O731" s="146"/>
      <c r="P731" s="144"/>
      <c r="Q731" s="147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  <c r="AC731" s="148"/>
      <c r="AD731" s="149"/>
      <c r="AE731" s="150"/>
      <c r="AF731" s="151"/>
      <c r="AG731" s="152"/>
      <c r="AH731" s="149"/>
    </row>
    <row r="732" customFormat="false" ht="12" hidden="false" customHeight="false" outlineLevel="0" collapsed="false">
      <c r="A732" s="134"/>
      <c r="B732" s="135"/>
      <c r="C732" s="143"/>
      <c r="D732" s="143"/>
      <c r="E732" s="143"/>
      <c r="F732" s="143"/>
      <c r="G732" s="143"/>
      <c r="H732" s="143"/>
      <c r="I732" s="143"/>
      <c r="J732" s="143"/>
      <c r="K732" s="143"/>
      <c r="L732" s="144"/>
      <c r="M732" s="143"/>
      <c r="N732" s="145"/>
      <c r="O732" s="146"/>
      <c r="P732" s="144"/>
      <c r="Q732" s="147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  <c r="AC732" s="148"/>
      <c r="AD732" s="149"/>
      <c r="AE732" s="150"/>
      <c r="AF732" s="151"/>
      <c r="AG732" s="152"/>
      <c r="AH732" s="149"/>
    </row>
    <row r="733" customFormat="false" ht="12" hidden="false" customHeight="false" outlineLevel="0" collapsed="false">
      <c r="A733" s="134"/>
      <c r="B733" s="135"/>
      <c r="C733" s="143"/>
      <c r="D733" s="143"/>
      <c r="E733" s="143"/>
      <c r="F733" s="143"/>
      <c r="G733" s="143"/>
      <c r="H733" s="143"/>
      <c r="I733" s="143"/>
      <c r="J733" s="143"/>
      <c r="K733" s="143"/>
      <c r="L733" s="144"/>
      <c r="M733" s="143"/>
      <c r="N733" s="145"/>
      <c r="O733" s="146"/>
      <c r="P733" s="144"/>
      <c r="Q733" s="147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  <c r="AC733" s="148"/>
      <c r="AD733" s="149"/>
      <c r="AE733" s="150"/>
      <c r="AF733" s="151"/>
      <c r="AG733" s="152"/>
      <c r="AH733" s="149"/>
    </row>
    <row r="734" customFormat="false" ht="12" hidden="false" customHeight="false" outlineLevel="0" collapsed="false">
      <c r="A734" s="134"/>
      <c r="B734" s="135"/>
      <c r="C734" s="143"/>
      <c r="D734" s="143"/>
      <c r="E734" s="143"/>
      <c r="F734" s="143"/>
      <c r="G734" s="143"/>
      <c r="H734" s="143"/>
      <c r="I734" s="143"/>
      <c r="J734" s="143"/>
      <c r="K734" s="143"/>
      <c r="L734" s="144"/>
      <c r="M734" s="143"/>
      <c r="N734" s="145"/>
      <c r="O734" s="146"/>
      <c r="P734" s="144"/>
      <c r="Q734" s="147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  <c r="AC734" s="148"/>
      <c r="AD734" s="149"/>
      <c r="AE734" s="150"/>
      <c r="AF734" s="151"/>
      <c r="AG734" s="152"/>
      <c r="AH734" s="149"/>
    </row>
    <row r="735" customFormat="false" ht="12" hidden="false" customHeight="false" outlineLevel="0" collapsed="false">
      <c r="A735" s="134"/>
      <c r="B735" s="135"/>
      <c r="C735" s="143"/>
      <c r="D735" s="143"/>
      <c r="E735" s="143"/>
      <c r="F735" s="143"/>
      <c r="G735" s="143"/>
      <c r="H735" s="143"/>
      <c r="I735" s="143"/>
      <c r="J735" s="143"/>
      <c r="K735" s="143"/>
      <c r="L735" s="144"/>
      <c r="M735" s="143"/>
      <c r="N735" s="145"/>
      <c r="O735" s="146"/>
      <c r="P735" s="144"/>
      <c r="Q735" s="147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  <c r="AC735" s="148"/>
      <c r="AD735" s="149"/>
      <c r="AE735" s="150"/>
      <c r="AF735" s="151"/>
      <c r="AG735" s="152"/>
      <c r="AH735" s="149"/>
    </row>
    <row r="736" customFormat="false" ht="12" hidden="false" customHeight="false" outlineLevel="0" collapsed="false">
      <c r="A736" s="134"/>
      <c r="B736" s="135"/>
      <c r="C736" s="143"/>
      <c r="D736" s="143"/>
      <c r="E736" s="143"/>
      <c r="F736" s="143"/>
      <c r="G736" s="143"/>
      <c r="H736" s="143"/>
      <c r="I736" s="143"/>
      <c r="J736" s="143"/>
      <c r="K736" s="143"/>
      <c r="L736" s="144"/>
      <c r="M736" s="143"/>
      <c r="N736" s="145"/>
      <c r="O736" s="146"/>
      <c r="P736" s="144"/>
      <c r="Q736" s="147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  <c r="AC736" s="148"/>
      <c r="AD736" s="149"/>
      <c r="AE736" s="150"/>
      <c r="AF736" s="151"/>
      <c r="AG736" s="152"/>
      <c r="AH736" s="149"/>
    </row>
    <row r="737" customFormat="false" ht="12" hidden="false" customHeight="false" outlineLevel="0" collapsed="false">
      <c r="A737" s="134"/>
      <c r="B737" s="135"/>
      <c r="C737" s="143"/>
      <c r="D737" s="143"/>
      <c r="E737" s="143"/>
      <c r="F737" s="143"/>
      <c r="G737" s="143"/>
      <c r="H737" s="143"/>
      <c r="I737" s="143"/>
      <c r="J737" s="143"/>
      <c r="K737" s="143"/>
      <c r="L737" s="144"/>
      <c r="M737" s="143"/>
      <c r="N737" s="145"/>
      <c r="O737" s="146"/>
      <c r="P737" s="144"/>
      <c r="Q737" s="147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  <c r="AC737" s="148"/>
      <c r="AD737" s="149"/>
      <c r="AE737" s="150"/>
      <c r="AF737" s="151"/>
      <c r="AG737" s="152"/>
      <c r="AH737" s="149"/>
    </row>
    <row r="738" customFormat="false" ht="12" hidden="false" customHeight="false" outlineLevel="0" collapsed="false">
      <c r="A738" s="134"/>
      <c r="B738" s="135"/>
      <c r="C738" s="143"/>
      <c r="D738" s="143"/>
      <c r="E738" s="143"/>
      <c r="F738" s="143"/>
      <c r="G738" s="143"/>
      <c r="H738" s="143"/>
      <c r="I738" s="143"/>
      <c r="J738" s="143"/>
      <c r="K738" s="143"/>
      <c r="L738" s="144"/>
      <c r="M738" s="143"/>
      <c r="N738" s="145"/>
      <c r="O738" s="146"/>
      <c r="P738" s="144"/>
      <c r="Q738" s="147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  <c r="AC738" s="148"/>
      <c r="AD738" s="149"/>
      <c r="AE738" s="150"/>
      <c r="AF738" s="151"/>
      <c r="AG738" s="152"/>
      <c r="AH738" s="149"/>
    </row>
    <row r="739" customFormat="false" ht="12" hidden="false" customHeight="false" outlineLevel="0" collapsed="false">
      <c r="A739" s="134"/>
      <c r="B739" s="135"/>
      <c r="C739" s="143"/>
      <c r="D739" s="143"/>
      <c r="E739" s="143"/>
      <c r="F739" s="143"/>
      <c r="G739" s="143"/>
      <c r="H739" s="143"/>
      <c r="I739" s="143"/>
      <c r="J739" s="143"/>
      <c r="K739" s="143"/>
      <c r="L739" s="144"/>
      <c r="M739" s="143"/>
      <c r="N739" s="145"/>
      <c r="O739" s="146"/>
      <c r="P739" s="144"/>
      <c r="Q739" s="147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  <c r="AC739" s="148"/>
      <c r="AD739" s="149"/>
      <c r="AE739" s="150"/>
      <c r="AF739" s="151"/>
      <c r="AG739" s="152"/>
      <c r="AH739" s="149"/>
    </row>
    <row r="740" customFormat="false" ht="12" hidden="false" customHeight="false" outlineLevel="0" collapsed="false">
      <c r="A740" s="134"/>
      <c r="B740" s="135"/>
      <c r="C740" s="143"/>
      <c r="D740" s="143"/>
      <c r="E740" s="143"/>
      <c r="F740" s="143"/>
      <c r="G740" s="143"/>
      <c r="H740" s="143"/>
      <c r="I740" s="143"/>
      <c r="J740" s="143"/>
      <c r="K740" s="143"/>
      <c r="L740" s="144"/>
      <c r="M740" s="143"/>
      <c r="N740" s="145"/>
      <c r="O740" s="146"/>
      <c r="P740" s="144"/>
      <c r="Q740" s="147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  <c r="AC740" s="148"/>
      <c r="AD740" s="149"/>
      <c r="AE740" s="150"/>
      <c r="AF740" s="151"/>
      <c r="AG740" s="152"/>
      <c r="AH740" s="149"/>
    </row>
    <row r="741" customFormat="false" ht="12" hidden="false" customHeight="false" outlineLevel="0" collapsed="false">
      <c r="A741" s="134"/>
      <c r="B741" s="135"/>
      <c r="C741" s="143"/>
      <c r="D741" s="143"/>
      <c r="E741" s="143"/>
      <c r="F741" s="143"/>
      <c r="G741" s="143"/>
      <c r="H741" s="143"/>
      <c r="I741" s="143"/>
      <c r="J741" s="143"/>
      <c r="K741" s="143"/>
      <c r="L741" s="144"/>
      <c r="M741" s="143"/>
      <c r="N741" s="145"/>
      <c r="O741" s="146"/>
      <c r="P741" s="144"/>
      <c r="Q741" s="147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  <c r="AC741" s="148"/>
      <c r="AD741" s="149"/>
      <c r="AE741" s="150"/>
      <c r="AF741" s="151"/>
      <c r="AG741" s="152"/>
      <c r="AH741" s="149"/>
    </row>
    <row r="742" customFormat="false" ht="12" hidden="false" customHeight="false" outlineLevel="0" collapsed="false">
      <c r="A742" s="134"/>
      <c r="B742" s="135"/>
      <c r="C742" s="143"/>
      <c r="D742" s="143"/>
      <c r="E742" s="143"/>
      <c r="F742" s="143"/>
      <c r="G742" s="143"/>
      <c r="H742" s="143"/>
      <c r="I742" s="143"/>
      <c r="J742" s="143"/>
      <c r="K742" s="143"/>
      <c r="L742" s="144"/>
      <c r="M742" s="143"/>
      <c r="N742" s="145"/>
      <c r="O742" s="146"/>
      <c r="P742" s="144"/>
      <c r="Q742" s="147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  <c r="AC742" s="148"/>
      <c r="AD742" s="149"/>
      <c r="AE742" s="150"/>
      <c r="AF742" s="151"/>
      <c r="AG742" s="152"/>
      <c r="AH742" s="149"/>
    </row>
    <row r="743" customFormat="false" ht="12" hidden="false" customHeight="false" outlineLevel="0" collapsed="false">
      <c r="A743" s="134"/>
      <c r="B743" s="135"/>
      <c r="C743" s="143"/>
      <c r="D743" s="143"/>
      <c r="E743" s="143"/>
      <c r="F743" s="143"/>
      <c r="G743" s="143"/>
      <c r="H743" s="143"/>
      <c r="I743" s="143"/>
      <c r="J743" s="143"/>
      <c r="K743" s="143"/>
      <c r="L743" s="144"/>
      <c r="M743" s="143"/>
      <c r="N743" s="145"/>
      <c r="O743" s="146"/>
      <c r="P743" s="144"/>
      <c r="Q743" s="147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  <c r="AC743" s="148"/>
      <c r="AD743" s="149"/>
      <c r="AE743" s="150"/>
      <c r="AF743" s="151"/>
      <c r="AG743" s="152"/>
      <c r="AH743" s="149"/>
    </row>
    <row r="744" customFormat="false" ht="12" hidden="false" customHeight="false" outlineLevel="0" collapsed="false">
      <c r="A744" s="134"/>
      <c r="B744" s="135"/>
      <c r="C744" s="143"/>
      <c r="D744" s="143"/>
      <c r="E744" s="143"/>
      <c r="F744" s="143"/>
      <c r="G744" s="143"/>
      <c r="H744" s="143"/>
      <c r="I744" s="143"/>
      <c r="J744" s="143"/>
      <c r="K744" s="143"/>
      <c r="L744" s="144"/>
      <c r="M744" s="143"/>
      <c r="N744" s="145"/>
      <c r="O744" s="146"/>
      <c r="P744" s="144"/>
      <c r="Q744" s="147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  <c r="AC744" s="148"/>
      <c r="AD744" s="149"/>
      <c r="AE744" s="150"/>
      <c r="AF744" s="151"/>
      <c r="AG744" s="152"/>
      <c r="AH744" s="149"/>
    </row>
    <row r="745" customFormat="false" ht="12" hidden="false" customHeight="false" outlineLevel="0" collapsed="false">
      <c r="A745" s="134"/>
      <c r="B745" s="135"/>
      <c r="C745" s="143"/>
      <c r="D745" s="143"/>
      <c r="E745" s="143"/>
      <c r="F745" s="143"/>
      <c r="G745" s="143"/>
      <c r="H745" s="143"/>
      <c r="I745" s="143"/>
      <c r="J745" s="143"/>
      <c r="K745" s="143"/>
      <c r="L745" s="144"/>
      <c r="M745" s="143"/>
      <c r="N745" s="145"/>
      <c r="O745" s="146"/>
      <c r="P745" s="144"/>
      <c r="Q745" s="147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  <c r="AC745" s="148"/>
      <c r="AD745" s="149"/>
      <c r="AE745" s="150"/>
      <c r="AF745" s="151"/>
      <c r="AG745" s="152"/>
      <c r="AH745" s="149"/>
    </row>
    <row r="746" customFormat="false" ht="12" hidden="false" customHeight="false" outlineLevel="0" collapsed="false">
      <c r="A746" s="134"/>
      <c r="B746" s="135"/>
      <c r="C746" s="143"/>
      <c r="D746" s="143"/>
      <c r="E746" s="143"/>
      <c r="F746" s="143"/>
      <c r="G746" s="143"/>
      <c r="H746" s="143"/>
      <c r="I746" s="143"/>
      <c r="J746" s="143"/>
      <c r="K746" s="143"/>
      <c r="L746" s="144"/>
      <c r="M746" s="143"/>
      <c r="N746" s="145"/>
      <c r="O746" s="146"/>
      <c r="P746" s="144"/>
      <c r="Q746" s="147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  <c r="AC746" s="148"/>
      <c r="AD746" s="149"/>
      <c r="AE746" s="150"/>
      <c r="AF746" s="151"/>
      <c r="AG746" s="152"/>
      <c r="AH746" s="149"/>
    </row>
    <row r="747" customFormat="false" ht="12" hidden="false" customHeight="false" outlineLevel="0" collapsed="false">
      <c r="A747" s="134"/>
      <c r="B747" s="135"/>
      <c r="C747" s="143"/>
      <c r="D747" s="143"/>
      <c r="E747" s="143"/>
      <c r="F747" s="143"/>
      <c r="G747" s="143"/>
      <c r="H747" s="143"/>
      <c r="I747" s="143"/>
      <c r="J747" s="143"/>
      <c r="K747" s="143"/>
      <c r="L747" s="144"/>
      <c r="M747" s="143"/>
      <c r="N747" s="145"/>
      <c r="O747" s="146"/>
      <c r="P747" s="144"/>
      <c r="Q747" s="147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  <c r="AC747" s="148"/>
      <c r="AD747" s="149"/>
      <c r="AE747" s="150"/>
      <c r="AF747" s="151"/>
      <c r="AG747" s="152"/>
      <c r="AH747" s="149"/>
    </row>
    <row r="748" customFormat="false" ht="12" hidden="false" customHeight="false" outlineLevel="0" collapsed="false">
      <c r="A748" s="134"/>
      <c r="B748" s="135"/>
      <c r="C748" s="143"/>
      <c r="D748" s="143"/>
      <c r="E748" s="143"/>
      <c r="F748" s="143"/>
      <c r="G748" s="143"/>
      <c r="H748" s="143"/>
      <c r="I748" s="143"/>
      <c r="J748" s="143"/>
      <c r="K748" s="143"/>
      <c r="L748" s="144"/>
      <c r="M748" s="143"/>
      <c r="N748" s="145"/>
      <c r="O748" s="146"/>
      <c r="P748" s="144"/>
      <c r="Q748" s="147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  <c r="AC748" s="148"/>
      <c r="AD748" s="149"/>
      <c r="AE748" s="150"/>
      <c r="AF748" s="151"/>
      <c r="AG748" s="152"/>
      <c r="AH748" s="149"/>
    </row>
    <row r="749" customFormat="false" ht="12" hidden="false" customHeight="false" outlineLevel="0" collapsed="false">
      <c r="A749" s="134"/>
      <c r="B749" s="135"/>
      <c r="C749" s="143"/>
      <c r="D749" s="143"/>
      <c r="E749" s="143"/>
      <c r="F749" s="143"/>
      <c r="G749" s="143"/>
      <c r="H749" s="143"/>
      <c r="I749" s="143"/>
      <c r="J749" s="143"/>
      <c r="K749" s="143"/>
      <c r="L749" s="144"/>
      <c r="M749" s="143"/>
      <c r="N749" s="145"/>
      <c r="O749" s="146"/>
      <c r="P749" s="144"/>
      <c r="Q749" s="147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  <c r="AC749" s="148"/>
      <c r="AD749" s="149"/>
      <c r="AE749" s="150"/>
      <c r="AF749" s="151"/>
      <c r="AG749" s="152"/>
      <c r="AH749" s="149"/>
    </row>
    <row r="750" customFormat="false" ht="12" hidden="false" customHeight="false" outlineLevel="0" collapsed="false">
      <c r="A750" s="134"/>
      <c r="B750" s="135"/>
      <c r="C750" s="143"/>
      <c r="D750" s="143"/>
      <c r="E750" s="143"/>
      <c r="F750" s="143"/>
      <c r="G750" s="143"/>
      <c r="H750" s="143"/>
      <c r="I750" s="143"/>
      <c r="J750" s="143"/>
      <c r="K750" s="143"/>
      <c r="L750" s="144"/>
      <c r="M750" s="143"/>
      <c r="N750" s="145"/>
      <c r="O750" s="146"/>
      <c r="P750" s="144"/>
      <c r="Q750" s="147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  <c r="AC750" s="148"/>
      <c r="AD750" s="149"/>
      <c r="AE750" s="150"/>
      <c r="AF750" s="151"/>
      <c r="AG750" s="152"/>
      <c r="AH750" s="149"/>
    </row>
    <row r="751" customFormat="false" ht="12" hidden="false" customHeight="false" outlineLevel="0" collapsed="false">
      <c r="A751" s="134"/>
      <c r="B751" s="135"/>
      <c r="C751" s="143"/>
      <c r="D751" s="143"/>
      <c r="E751" s="143"/>
      <c r="F751" s="143"/>
      <c r="G751" s="143"/>
      <c r="H751" s="143"/>
      <c r="I751" s="143"/>
      <c r="J751" s="143"/>
      <c r="K751" s="143"/>
      <c r="L751" s="144"/>
      <c r="M751" s="143"/>
      <c r="N751" s="145"/>
      <c r="O751" s="146"/>
      <c r="P751" s="144"/>
      <c r="Q751" s="147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  <c r="AC751" s="148"/>
      <c r="AD751" s="149"/>
      <c r="AE751" s="150"/>
      <c r="AF751" s="151"/>
      <c r="AG751" s="152"/>
      <c r="AH751" s="149"/>
    </row>
    <row r="752" customFormat="false" ht="12" hidden="false" customHeight="false" outlineLevel="0" collapsed="false">
      <c r="A752" s="134"/>
      <c r="B752" s="135"/>
      <c r="C752" s="143"/>
      <c r="D752" s="143"/>
      <c r="E752" s="143"/>
      <c r="F752" s="143"/>
      <c r="G752" s="143"/>
      <c r="H752" s="143"/>
      <c r="I752" s="143"/>
      <c r="J752" s="143"/>
      <c r="K752" s="143"/>
      <c r="L752" s="144"/>
      <c r="M752" s="143"/>
      <c r="N752" s="145"/>
      <c r="O752" s="146"/>
      <c r="P752" s="144"/>
      <c r="Q752" s="147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  <c r="AC752" s="148"/>
      <c r="AD752" s="149"/>
      <c r="AE752" s="150"/>
      <c r="AF752" s="151"/>
      <c r="AG752" s="152"/>
      <c r="AH752" s="149"/>
    </row>
    <row r="753" customFormat="false" ht="12" hidden="false" customHeight="false" outlineLevel="0" collapsed="false">
      <c r="A753" s="134"/>
      <c r="B753" s="135"/>
      <c r="C753" s="143"/>
      <c r="D753" s="143"/>
      <c r="E753" s="143"/>
      <c r="F753" s="143"/>
      <c r="G753" s="143"/>
      <c r="H753" s="143"/>
      <c r="I753" s="143"/>
      <c r="J753" s="143"/>
      <c r="K753" s="143"/>
      <c r="L753" s="144"/>
      <c r="M753" s="143"/>
      <c r="N753" s="145"/>
      <c r="O753" s="146"/>
      <c r="P753" s="144"/>
      <c r="Q753" s="147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  <c r="AC753" s="148"/>
      <c r="AD753" s="149"/>
      <c r="AE753" s="150"/>
      <c r="AF753" s="151"/>
      <c r="AG753" s="152"/>
      <c r="AH753" s="149"/>
    </row>
    <row r="754" customFormat="false" ht="12" hidden="false" customHeight="false" outlineLevel="0" collapsed="false">
      <c r="A754" s="134"/>
      <c r="B754" s="135"/>
      <c r="C754" s="143"/>
      <c r="D754" s="143"/>
      <c r="E754" s="143"/>
      <c r="F754" s="143"/>
      <c r="G754" s="143"/>
      <c r="H754" s="143"/>
      <c r="I754" s="143"/>
      <c r="J754" s="143"/>
      <c r="K754" s="143"/>
      <c r="L754" s="144"/>
      <c r="M754" s="143"/>
      <c r="N754" s="145"/>
      <c r="O754" s="146"/>
      <c r="P754" s="144"/>
      <c r="Q754" s="147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  <c r="AC754" s="148"/>
      <c r="AD754" s="149"/>
      <c r="AE754" s="150"/>
      <c r="AF754" s="151"/>
      <c r="AG754" s="152"/>
      <c r="AH754" s="149"/>
    </row>
    <row r="755" customFormat="false" ht="12" hidden="false" customHeight="false" outlineLevel="0" collapsed="false">
      <c r="A755" s="134"/>
      <c r="B755" s="135"/>
      <c r="C755" s="143"/>
      <c r="D755" s="143"/>
      <c r="E755" s="143"/>
      <c r="F755" s="143"/>
      <c r="G755" s="143"/>
      <c r="H755" s="143"/>
      <c r="I755" s="143"/>
      <c r="J755" s="143"/>
      <c r="K755" s="143"/>
      <c r="L755" s="144"/>
      <c r="M755" s="143"/>
      <c r="N755" s="145"/>
      <c r="O755" s="146"/>
      <c r="P755" s="144"/>
      <c r="Q755" s="147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  <c r="AC755" s="148"/>
      <c r="AD755" s="149"/>
      <c r="AE755" s="150"/>
      <c r="AF755" s="151"/>
      <c r="AG755" s="152"/>
      <c r="AH755" s="149"/>
    </row>
    <row r="756" customFormat="false" ht="12" hidden="false" customHeight="false" outlineLevel="0" collapsed="false">
      <c r="A756" s="134"/>
      <c r="B756" s="135"/>
      <c r="C756" s="143"/>
      <c r="D756" s="143"/>
      <c r="E756" s="143"/>
      <c r="F756" s="143"/>
      <c r="G756" s="143"/>
      <c r="H756" s="143"/>
      <c r="I756" s="143"/>
      <c r="J756" s="143"/>
      <c r="K756" s="143"/>
      <c r="L756" s="144"/>
      <c r="M756" s="143"/>
      <c r="N756" s="145"/>
      <c r="O756" s="146"/>
      <c r="P756" s="144"/>
      <c r="Q756" s="147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  <c r="AC756" s="148"/>
      <c r="AD756" s="149"/>
      <c r="AE756" s="150"/>
      <c r="AF756" s="151"/>
      <c r="AG756" s="152"/>
      <c r="AH756" s="149"/>
    </row>
    <row r="757" customFormat="false" ht="12" hidden="false" customHeight="false" outlineLevel="0" collapsed="false">
      <c r="A757" s="134"/>
      <c r="B757" s="135"/>
      <c r="C757" s="143"/>
      <c r="D757" s="143"/>
      <c r="E757" s="143"/>
      <c r="F757" s="143"/>
      <c r="G757" s="143"/>
      <c r="H757" s="143"/>
      <c r="I757" s="143"/>
      <c r="J757" s="143"/>
      <c r="K757" s="143"/>
      <c r="L757" s="144"/>
      <c r="M757" s="143"/>
      <c r="N757" s="145"/>
      <c r="O757" s="146"/>
      <c r="P757" s="144"/>
      <c r="Q757" s="147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  <c r="AC757" s="148"/>
      <c r="AD757" s="149"/>
      <c r="AE757" s="150"/>
      <c r="AF757" s="151"/>
      <c r="AG757" s="152"/>
      <c r="AH757" s="149"/>
    </row>
    <row r="758" customFormat="false" ht="12" hidden="false" customHeight="false" outlineLevel="0" collapsed="false">
      <c r="A758" s="134"/>
      <c r="B758" s="135"/>
      <c r="C758" s="143"/>
      <c r="D758" s="143"/>
      <c r="E758" s="143"/>
      <c r="F758" s="143"/>
      <c r="G758" s="143"/>
      <c r="H758" s="143"/>
      <c r="I758" s="143"/>
      <c r="J758" s="143"/>
      <c r="K758" s="143"/>
      <c r="L758" s="144"/>
      <c r="M758" s="143"/>
      <c r="N758" s="145"/>
      <c r="O758" s="146"/>
      <c r="P758" s="144"/>
      <c r="Q758" s="147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  <c r="AC758" s="148"/>
      <c r="AD758" s="149"/>
      <c r="AE758" s="150"/>
      <c r="AF758" s="151"/>
      <c r="AG758" s="152"/>
      <c r="AH758" s="149"/>
    </row>
    <row r="759" customFormat="false" ht="12" hidden="false" customHeight="false" outlineLevel="0" collapsed="false">
      <c r="A759" s="134"/>
      <c r="B759" s="135"/>
      <c r="C759" s="143"/>
      <c r="D759" s="143"/>
      <c r="E759" s="143"/>
      <c r="F759" s="143"/>
      <c r="G759" s="143"/>
      <c r="H759" s="143"/>
      <c r="I759" s="143"/>
      <c r="J759" s="143"/>
      <c r="K759" s="143"/>
      <c r="L759" s="144"/>
      <c r="M759" s="143"/>
      <c r="N759" s="145"/>
      <c r="O759" s="146"/>
      <c r="P759" s="144"/>
      <c r="Q759" s="147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  <c r="AC759" s="148"/>
      <c r="AD759" s="149"/>
      <c r="AE759" s="150"/>
      <c r="AF759" s="151"/>
      <c r="AG759" s="152"/>
      <c r="AH759" s="149"/>
    </row>
    <row r="760" customFormat="false" ht="12" hidden="false" customHeight="false" outlineLevel="0" collapsed="false">
      <c r="A760" s="134"/>
      <c r="B760" s="135"/>
      <c r="C760" s="143"/>
      <c r="D760" s="143"/>
      <c r="E760" s="143"/>
      <c r="F760" s="143"/>
      <c r="G760" s="143"/>
      <c r="H760" s="143"/>
      <c r="I760" s="143"/>
      <c r="J760" s="143"/>
      <c r="K760" s="143"/>
      <c r="L760" s="144"/>
      <c r="M760" s="143"/>
      <c r="N760" s="145"/>
      <c r="O760" s="146"/>
      <c r="P760" s="144"/>
      <c r="Q760" s="147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  <c r="AC760" s="148"/>
      <c r="AD760" s="149"/>
      <c r="AE760" s="150"/>
      <c r="AF760" s="151"/>
      <c r="AG760" s="152"/>
      <c r="AH760" s="149"/>
    </row>
    <row r="761" customFormat="false" ht="12" hidden="false" customHeight="false" outlineLevel="0" collapsed="false">
      <c r="A761" s="134"/>
      <c r="B761" s="135"/>
      <c r="C761" s="143"/>
      <c r="D761" s="143"/>
      <c r="E761" s="143"/>
      <c r="F761" s="143"/>
      <c r="G761" s="143"/>
      <c r="H761" s="143"/>
      <c r="I761" s="143"/>
      <c r="J761" s="143"/>
      <c r="K761" s="143"/>
      <c r="L761" s="144"/>
      <c r="M761" s="143"/>
      <c r="N761" s="145"/>
      <c r="O761" s="146"/>
      <c r="P761" s="144"/>
      <c r="Q761" s="147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  <c r="AC761" s="148"/>
      <c r="AD761" s="149"/>
      <c r="AE761" s="150"/>
      <c r="AF761" s="151"/>
      <c r="AG761" s="152"/>
      <c r="AH761" s="149"/>
    </row>
    <row r="762" customFormat="false" ht="12" hidden="false" customHeight="false" outlineLevel="0" collapsed="false">
      <c r="A762" s="134"/>
      <c r="B762" s="135"/>
      <c r="C762" s="143"/>
      <c r="D762" s="143"/>
      <c r="E762" s="143"/>
      <c r="F762" s="143"/>
      <c r="G762" s="143"/>
      <c r="H762" s="143"/>
      <c r="I762" s="143"/>
      <c r="J762" s="143"/>
      <c r="K762" s="143"/>
      <c r="L762" s="144"/>
      <c r="M762" s="143"/>
      <c r="N762" s="145"/>
      <c r="O762" s="146"/>
      <c r="P762" s="144"/>
      <c r="Q762" s="147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  <c r="AC762" s="148"/>
      <c r="AD762" s="149"/>
      <c r="AE762" s="150"/>
      <c r="AF762" s="151"/>
      <c r="AG762" s="152"/>
      <c r="AH762" s="149"/>
    </row>
    <row r="763" customFormat="false" ht="12" hidden="false" customHeight="false" outlineLevel="0" collapsed="false">
      <c r="A763" s="134"/>
      <c r="B763" s="135"/>
      <c r="C763" s="143"/>
      <c r="D763" s="143"/>
      <c r="E763" s="143"/>
      <c r="F763" s="143"/>
      <c r="G763" s="143"/>
      <c r="H763" s="143"/>
      <c r="I763" s="143"/>
      <c r="J763" s="143"/>
      <c r="K763" s="143"/>
      <c r="L763" s="144"/>
      <c r="M763" s="143"/>
      <c r="N763" s="145"/>
      <c r="O763" s="146"/>
      <c r="P763" s="144"/>
      <c r="Q763" s="147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  <c r="AC763" s="148"/>
      <c r="AD763" s="149"/>
      <c r="AE763" s="150"/>
      <c r="AF763" s="151"/>
      <c r="AG763" s="152"/>
      <c r="AH763" s="149"/>
    </row>
    <row r="764" customFormat="false" ht="12" hidden="false" customHeight="false" outlineLevel="0" collapsed="false">
      <c r="A764" s="134"/>
      <c r="B764" s="135"/>
      <c r="C764" s="143"/>
      <c r="D764" s="143"/>
      <c r="E764" s="143"/>
      <c r="F764" s="143"/>
      <c r="G764" s="143"/>
      <c r="H764" s="143"/>
      <c r="I764" s="143"/>
      <c r="J764" s="143"/>
      <c r="K764" s="143"/>
      <c r="L764" s="144"/>
      <c r="M764" s="143"/>
      <c r="N764" s="145"/>
      <c r="O764" s="146"/>
      <c r="P764" s="144"/>
      <c r="Q764" s="147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  <c r="AC764" s="148"/>
      <c r="AD764" s="149"/>
      <c r="AE764" s="150"/>
      <c r="AF764" s="151"/>
      <c r="AG764" s="152"/>
      <c r="AH764" s="149"/>
    </row>
    <row r="765" customFormat="false" ht="12" hidden="false" customHeight="false" outlineLevel="0" collapsed="false">
      <c r="A765" s="134"/>
      <c r="B765" s="135"/>
      <c r="C765" s="143"/>
      <c r="D765" s="143"/>
      <c r="E765" s="143"/>
      <c r="F765" s="143"/>
      <c r="G765" s="143"/>
      <c r="H765" s="143"/>
      <c r="I765" s="143"/>
      <c r="J765" s="143"/>
      <c r="K765" s="143"/>
      <c r="L765" s="144"/>
      <c r="M765" s="143"/>
      <c r="N765" s="145"/>
      <c r="O765" s="146"/>
      <c r="P765" s="144"/>
      <c r="Q765" s="147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  <c r="AC765" s="148"/>
      <c r="AD765" s="149"/>
      <c r="AE765" s="150"/>
      <c r="AF765" s="151"/>
      <c r="AG765" s="152"/>
      <c r="AH765" s="149"/>
    </row>
    <row r="766" customFormat="false" ht="12" hidden="false" customHeight="false" outlineLevel="0" collapsed="false">
      <c r="A766" s="134"/>
      <c r="B766" s="135"/>
      <c r="C766" s="143"/>
      <c r="D766" s="143"/>
      <c r="E766" s="143"/>
      <c r="F766" s="143"/>
      <c r="G766" s="143"/>
      <c r="H766" s="143"/>
      <c r="I766" s="143"/>
      <c r="J766" s="143"/>
      <c r="K766" s="143"/>
      <c r="L766" s="144"/>
      <c r="M766" s="143"/>
      <c r="N766" s="145"/>
      <c r="O766" s="146"/>
      <c r="P766" s="144"/>
      <c r="Q766" s="147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  <c r="AC766" s="148"/>
      <c r="AD766" s="149"/>
      <c r="AE766" s="150"/>
      <c r="AF766" s="151"/>
      <c r="AG766" s="152"/>
      <c r="AH766" s="149"/>
    </row>
    <row r="767" customFormat="false" ht="12" hidden="false" customHeight="false" outlineLevel="0" collapsed="false">
      <c r="A767" s="134"/>
      <c r="B767" s="135"/>
      <c r="C767" s="143"/>
      <c r="D767" s="143"/>
      <c r="E767" s="143"/>
      <c r="F767" s="143"/>
      <c r="G767" s="143"/>
      <c r="H767" s="143"/>
      <c r="I767" s="143"/>
      <c r="J767" s="143"/>
      <c r="K767" s="143"/>
      <c r="L767" s="144"/>
      <c r="M767" s="143"/>
      <c r="N767" s="145"/>
      <c r="O767" s="146"/>
      <c r="P767" s="144"/>
      <c r="Q767" s="147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  <c r="AC767" s="148"/>
      <c r="AD767" s="149"/>
      <c r="AE767" s="150"/>
      <c r="AF767" s="151"/>
      <c r="AG767" s="152"/>
      <c r="AH767" s="149"/>
    </row>
    <row r="768" customFormat="false" ht="12" hidden="false" customHeight="false" outlineLevel="0" collapsed="false">
      <c r="A768" s="134"/>
      <c r="B768" s="135"/>
      <c r="C768" s="143"/>
      <c r="D768" s="143"/>
      <c r="E768" s="143"/>
      <c r="F768" s="143"/>
      <c r="G768" s="143"/>
      <c r="H768" s="143"/>
      <c r="I768" s="143"/>
      <c r="J768" s="143"/>
      <c r="K768" s="143"/>
      <c r="L768" s="144"/>
      <c r="M768" s="143"/>
      <c r="N768" s="145"/>
      <c r="O768" s="146"/>
      <c r="P768" s="144"/>
      <c r="Q768" s="147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  <c r="AC768" s="148"/>
      <c r="AD768" s="149"/>
      <c r="AE768" s="150"/>
      <c r="AF768" s="151"/>
      <c r="AG768" s="152"/>
      <c r="AH768" s="149"/>
    </row>
    <row r="769" customFormat="false" ht="12" hidden="false" customHeight="false" outlineLevel="0" collapsed="false">
      <c r="A769" s="134"/>
      <c r="B769" s="135"/>
      <c r="C769" s="143"/>
      <c r="D769" s="143"/>
      <c r="E769" s="143"/>
      <c r="F769" s="143"/>
      <c r="G769" s="143"/>
      <c r="H769" s="143"/>
      <c r="I769" s="143"/>
      <c r="J769" s="143"/>
      <c r="K769" s="143"/>
      <c r="L769" s="144"/>
      <c r="M769" s="143"/>
      <c r="N769" s="145"/>
      <c r="O769" s="146"/>
      <c r="P769" s="144"/>
      <c r="Q769" s="147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  <c r="AC769" s="148"/>
      <c r="AD769" s="149"/>
      <c r="AE769" s="150"/>
      <c r="AF769" s="151"/>
      <c r="AG769" s="152"/>
      <c r="AH769" s="149"/>
    </row>
    <row r="770" customFormat="false" ht="12" hidden="false" customHeight="false" outlineLevel="0" collapsed="false">
      <c r="A770" s="134"/>
      <c r="B770" s="135"/>
      <c r="C770" s="143"/>
      <c r="D770" s="143"/>
      <c r="E770" s="143"/>
      <c r="F770" s="143"/>
      <c r="G770" s="143"/>
      <c r="H770" s="143"/>
      <c r="I770" s="143"/>
      <c r="J770" s="143"/>
      <c r="K770" s="143"/>
      <c r="L770" s="144"/>
      <c r="M770" s="143"/>
      <c r="N770" s="145"/>
      <c r="O770" s="146"/>
      <c r="P770" s="144"/>
      <c r="Q770" s="147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  <c r="AC770" s="148"/>
      <c r="AD770" s="149"/>
      <c r="AE770" s="150"/>
      <c r="AF770" s="151"/>
      <c r="AG770" s="152"/>
      <c r="AH770" s="149"/>
    </row>
    <row r="771" customFormat="false" ht="12" hidden="false" customHeight="false" outlineLevel="0" collapsed="false">
      <c r="A771" s="134"/>
      <c r="B771" s="135"/>
      <c r="C771" s="143"/>
      <c r="D771" s="143"/>
      <c r="E771" s="143"/>
      <c r="F771" s="143"/>
      <c r="G771" s="143"/>
      <c r="H771" s="143"/>
      <c r="I771" s="143"/>
      <c r="J771" s="143"/>
      <c r="K771" s="143"/>
      <c r="L771" s="144"/>
      <c r="M771" s="143"/>
      <c r="N771" s="145"/>
      <c r="O771" s="146"/>
      <c r="P771" s="144"/>
      <c r="Q771" s="147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  <c r="AC771" s="148"/>
      <c r="AD771" s="149"/>
      <c r="AE771" s="150"/>
      <c r="AF771" s="151"/>
      <c r="AG771" s="152"/>
      <c r="AH771" s="149"/>
    </row>
    <row r="772" customFormat="false" ht="12" hidden="false" customHeight="false" outlineLevel="0" collapsed="false">
      <c r="A772" s="134"/>
      <c r="B772" s="135"/>
      <c r="C772" s="143"/>
      <c r="D772" s="143"/>
      <c r="E772" s="143"/>
      <c r="F772" s="143"/>
      <c r="G772" s="143"/>
      <c r="H772" s="143"/>
      <c r="I772" s="143"/>
      <c r="J772" s="143"/>
      <c r="K772" s="143"/>
      <c r="L772" s="144"/>
      <c r="M772" s="143"/>
      <c r="N772" s="145"/>
      <c r="O772" s="146"/>
      <c r="P772" s="144"/>
      <c r="Q772" s="147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  <c r="AC772" s="148"/>
      <c r="AD772" s="149"/>
      <c r="AE772" s="150"/>
      <c r="AF772" s="151"/>
      <c r="AG772" s="152"/>
      <c r="AH772" s="149"/>
    </row>
    <row r="773" customFormat="false" ht="12" hidden="false" customHeight="false" outlineLevel="0" collapsed="false">
      <c r="A773" s="134"/>
      <c r="B773" s="135"/>
      <c r="C773" s="143"/>
      <c r="D773" s="143"/>
      <c r="E773" s="143"/>
      <c r="F773" s="143"/>
      <c r="G773" s="143"/>
      <c r="H773" s="143"/>
      <c r="I773" s="143"/>
      <c r="J773" s="143"/>
      <c r="K773" s="143"/>
      <c r="L773" s="144"/>
      <c r="M773" s="143"/>
      <c r="N773" s="145"/>
      <c r="O773" s="146"/>
      <c r="P773" s="144"/>
      <c r="Q773" s="147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  <c r="AC773" s="148"/>
      <c r="AD773" s="149"/>
      <c r="AE773" s="150"/>
      <c r="AF773" s="151"/>
      <c r="AG773" s="152"/>
      <c r="AH773" s="149"/>
    </row>
    <row r="774" customFormat="false" ht="12" hidden="false" customHeight="false" outlineLevel="0" collapsed="false">
      <c r="A774" s="134"/>
      <c r="B774" s="135"/>
      <c r="C774" s="143"/>
      <c r="D774" s="143"/>
      <c r="E774" s="143"/>
      <c r="F774" s="143"/>
      <c r="G774" s="143"/>
      <c r="H774" s="143"/>
      <c r="I774" s="143"/>
      <c r="J774" s="143"/>
      <c r="K774" s="143"/>
      <c r="L774" s="144"/>
      <c r="M774" s="143"/>
      <c r="N774" s="145"/>
      <c r="O774" s="146"/>
      <c r="P774" s="144"/>
      <c r="Q774" s="147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  <c r="AC774" s="148"/>
      <c r="AD774" s="149"/>
      <c r="AE774" s="150"/>
      <c r="AF774" s="151"/>
      <c r="AG774" s="152"/>
      <c r="AH774" s="149"/>
    </row>
    <row r="775" customFormat="false" ht="12" hidden="false" customHeight="false" outlineLevel="0" collapsed="false">
      <c r="A775" s="134"/>
      <c r="B775" s="135"/>
      <c r="C775" s="143"/>
      <c r="D775" s="143"/>
      <c r="E775" s="143"/>
      <c r="F775" s="143"/>
      <c r="G775" s="143"/>
      <c r="H775" s="143"/>
      <c r="I775" s="143"/>
      <c r="J775" s="143"/>
      <c r="K775" s="143"/>
      <c r="L775" s="144"/>
      <c r="M775" s="143"/>
      <c r="N775" s="145"/>
      <c r="O775" s="146"/>
      <c r="P775" s="144"/>
      <c r="Q775" s="147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  <c r="AC775" s="148"/>
      <c r="AD775" s="149"/>
      <c r="AE775" s="150"/>
      <c r="AF775" s="151"/>
      <c r="AG775" s="152"/>
      <c r="AH775" s="149"/>
    </row>
    <row r="776" customFormat="false" ht="12" hidden="false" customHeight="false" outlineLevel="0" collapsed="false">
      <c r="A776" s="134"/>
      <c r="B776" s="135"/>
      <c r="C776" s="143"/>
      <c r="D776" s="143"/>
      <c r="E776" s="143"/>
      <c r="F776" s="143"/>
      <c r="G776" s="143"/>
      <c r="H776" s="143"/>
      <c r="I776" s="143"/>
      <c r="J776" s="143"/>
      <c r="K776" s="143"/>
      <c r="L776" s="144"/>
      <c r="M776" s="143"/>
      <c r="N776" s="145"/>
      <c r="O776" s="146"/>
      <c r="P776" s="144"/>
      <c r="Q776" s="147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  <c r="AC776" s="148"/>
      <c r="AD776" s="149"/>
      <c r="AE776" s="150"/>
      <c r="AF776" s="151"/>
      <c r="AG776" s="152"/>
      <c r="AH776" s="149"/>
    </row>
    <row r="777" customFormat="false" ht="12" hidden="false" customHeight="false" outlineLevel="0" collapsed="false">
      <c r="A777" s="134"/>
      <c r="B777" s="135"/>
      <c r="C777" s="143"/>
      <c r="D777" s="143"/>
      <c r="E777" s="143"/>
      <c r="F777" s="143"/>
      <c r="G777" s="143"/>
      <c r="H777" s="143"/>
      <c r="I777" s="143"/>
      <c r="J777" s="143"/>
      <c r="K777" s="143"/>
      <c r="L777" s="144"/>
      <c r="M777" s="143"/>
      <c r="N777" s="145"/>
      <c r="O777" s="146"/>
      <c r="P777" s="144"/>
      <c r="Q777" s="147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  <c r="AC777" s="148"/>
      <c r="AD777" s="149"/>
      <c r="AE777" s="150"/>
      <c r="AF777" s="151"/>
      <c r="AG777" s="152"/>
      <c r="AH777" s="149"/>
    </row>
    <row r="778" customFormat="false" ht="12" hidden="false" customHeight="false" outlineLevel="0" collapsed="false">
      <c r="A778" s="134"/>
      <c r="B778" s="135"/>
      <c r="C778" s="143"/>
      <c r="D778" s="143"/>
      <c r="E778" s="143"/>
      <c r="F778" s="143"/>
      <c r="G778" s="143"/>
      <c r="H778" s="143"/>
      <c r="I778" s="143"/>
      <c r="J778" s="143"/>
      <c r="K778" s="143"/>
      <c r="L778" s="144"/>
      <c r="M778" s="143"/>
      <c r="N778" s="145"/>
      <c r="O778" s="146"/>
      <c r="P778" s="144"/>
      <c r="Q778" s="147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  <c r="AC778" s="148"/>
      <c r="AD778" s="149"/>
      <c r="AE778" s="150"/>
      <c r="AF778" s="151"/>
      <c r="AG778" s="152"/>
      <c r="AH778" s="149"/>
    </row>
    <row r="779" customFormat="false" ht="12" hidden="false" customHeight="false" outlineLevel="0" collapsed="false">
      <c r="A779" s="134"/>
      <c r="B779" s="135"/>
      <c r="C779" s="143"/>
      <c r="D779" s="143"/>
      <c r="E779" s="143"/>
      <c r="F779" s="143"/>
      <c r="G779" s="143"/>
      <c r="H779" s="143"/>
      <c r="I779" s="143"/>
      <c r="J779" s="143"/>
      <c r="K779" s="143"/>
      <c r="L779" s="144"/>
      <c r="M779" s="143"/>
      <c r="N779" s="145"/>
      <c r="O779" s="146"/>
      <c r="P779" s="144"/>
      <c r="Q779" s="147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  <c r="AC779" s="148"/>
      <c r="AD779" s="149"/>
      <c r="AE779" s="150"/>
      <c r="AF779" s="151"/>
      <c r="AG779" s="152"/>
      <c r="AH779" s="149"/>
    </row>
    <row r="780" customFormat="false" ht="12" hidden="false" customHeight="false" outlineLevel="0" collapsed="false">
      <c r="A780" s="134"/>
      <c r="B780" s="135"/>
      <c r="C780" s="143"/>
      <c r="D780" s="143"/>
      <c r="E780" s="143"/>
      <c r="F780" s="143"/>
      <c r="G780" s="143"/>
      <c r="H780" s="143"/>
      <c r="I780" s="143"/>
      <c r="J780" s="143"/>
      <c r="K780" s="143"/>
      <c r="L780" s="144"/>
      <c r="M780" s="143"/>
      <c r="N780" s="145"/>
      <c r="O780" s="146"/>
      <c r="P780" s="144"/>
      <c r="Q780" s="147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  <c r="AC780" s="148"/>
      <c r="AD780" s="149"/>
      <c r="AE780" s="150"/>
      <c r="AF780" s="151"/>
      <c r="AG780" s="152"/>
      <c r="AH780" s="149"/>
    </row>
    <row r="781" customFormat="false" ht="12" hidden="false" customHeight="false" outlineLevel="0" collapsed="false">
      <c r="A781" s="134"/>
      <c r="B781" s="135"/>
      <c r="C781" s="143"/>
      <c r="D781" s="143"/>
      <c r="E781" s="143"/>
      <c r="F781" s="143"/>
      <c r="G781" s="143"/>
      <c r="H781" s="143"/>
      <c r="I781" s="143"/>
      <c r="J781" s="143"/>
      <c r="K781" s="143"/>
      <c r="L781" s="144"/>
      <c r="M781" s="143"/>
      <c r="N781" s="145"/>
      <c r="O781" s="146"/>
      <c r="P781" s="144"/>
      <c r="Q781" s="147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  <c r="AC781" s="148"/>
      <c r="AD781" s="149"/>
      <c r="AE781" s="150"/>
      <c r="AF781" s="151"/>
      <c r="AG781" s="152"/>
      <c r="AH781" s="149"/>
    </row>
    <row r="782" customFormat="false" ht="12" hidden="false" customHeight="false" outlineLevel="0" collapsed="false">
      <c r="A782" s="134"/>
      <c r="B782" s="135"/>
      <c r="C782" s="143"/>
      <c r="D782" s="143"/>
      <c r="E782" s="143"/>
      <c r="F782" s="143"/>
      <c r="G782" s="143"/>
      <c r="H782" s="143"/>
      <c r="I782" s="143"/>
      <c r="J782" s="143"/>
      <c r="K782" s="143"/>
      <c r="L782" s="144"/>
      <c r="M782" s="143"/>
      <c r="N782" s="145"/>
      <c r="O782" s="146"/>
      <c r="P782" s="144"/>
      <c r="Q782" s="147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  <c r="AC782" s="148"/>
      <c r="AD782" s="149"/>
      <c r="AE782" s="150"/>
      <c r="AF782" s="151"/>
      <c r="AG782" s="152"/>
      <c r="AH782" s="149"/>
    </row>
    <row r="783" customFormat="false" ht="12" hidden="false" customHeight="false" outlineLevel="0" collapsed="false">
      <c r="A783" s="134"/>
      <c r="B783" s="135"/>
      <c r="C783" s="143"/>
      <c r="D783" s="143"/>
      <c r="E783" s="143"/>
      <c r="F783" s="143"/>
      <c r="G783" s="143"/>
      <c r="H783" s="143"/>
      <c r="I783" s="143"/>
      <c r="J783" s="143"/>
      <c r="K783" s="143"/>
      <c r="L783" s="144"/>
      <c r="M783" s="143"/>
      <c r="N783" s="145"/>
      <c r="O783" s="146"/>
      <c r="P783" s="144"/>
      <c r="Q783" s="147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  <c r="AC783" s="148"/>
      <c r="AD783" s="149"/>
      <c r="AE783" s="150"/>
      <c r="AF783" s="151"/>
      <c r="AG783" s="152"/>
      <c r="AH783" s="149"/>
    </row>
    <row r="784" customFormat="false" ht="12" hidden="false" customHeight="false" outlineLevel="0" collapsed="false">
      <c r="A784" s="134"/>
      <c r="B784" s="135"/>
      <c r="C784" s="143"/>
      <c r="D784" s="143"/>
      <c r="E784" s="143"/>
      <c r="F784" s="143"/>
      <c r="G784" s="143"/>
      <c r="H784" s="143"/>
      <c r="I784" s="143"/>
      <c r="J784" s="143"/>
      <c r="K784" s="143"/>
      <c r="L784" s="144"/>
      <c r="M784" s="143"/>
      <c r="N784" s="145"/>
      <c r="O784" s="146"/>
      <c r="P784" s="144"/>
      <c r="Q784" s="147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  <c r="AC784" s="148"/>
      <c r="AD784" s="149"/>
      <c r="AE784" s="150"/>
      <c r="AF784" s="151"/>
      <c r="AG784" s="152"/>
      <c r="AH784" s="149"/>
    </row>
    <row r="785" customFormat="false" ht="12" hidden="false" customHeight="false" outlineLevel="0" collapsed="false">
      <c r="A785" s="134"/>
      <c r="B785" s="135"/>
      <c r="C785" s="143"/>
      <c r="D785" s="143"/>
      <c r="E785" s="143"/>
      <c r="F785" s="143"/>
      <c r="G785" s="143"/>
      <c r="H785" s="143"/>
      <c r="I785" s="143"/>
      <c r="J785" s="143"/>
      <c r="K785" s="143"/>
      <c r="L785" s="144"/>
      <c r="M785" s="143"/>
      <c r="N785" s="145"/>
      <c r="O785" s="146"/>
      <c r="P785" s="144"/>
      <c r="Q785" s="147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  <c r="AC785" s="148"/>
      <c r="AD785" s="149"/>
      <c r="AE785" s="150"/>
      <c r="AF785" s="151"/>
      <c r="AG785" s="152"/>
      <c r="AH785" s="149"/>
    </row>
    <row r="786" customFormat="false" ht="12" hidden="false" customHeight="false" outlineLevel="0" collapsed="false">
      <c r="A786" s="134"/>
      <c r="B786" s="135"/>
      <c r="C786" s="143"/>
      <c r="D786" s="143"/>
      <c r="E786" s="143"/>
      <c r="F786" s="143"/>
      <c r="G786" s="143"/>
      <c r="H786" s="143"/>
      <c r="I786" s="143"/>
      <c r="J786" s="143"/>
      <c r="K786" s="143"/>
      <c r="L786" s="144"/>
      <c r="M786" s="143"/>
      <c r="N786" s="145"/>
      <c r="O786" s="146"/>
      <c r="P786" s="144"/>
      <c r="Q786" s="147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  <c r="AC786" s="148"/>
      <c r="AD786" s="149"/>
      <c r="AE786" s="150"/>
      <c r="AF786" s="151"/>
      <c r="AG786" s="152"/>
      <c r="AH786" s="149"/>
    </row>
    <row r="787" customFormat="false" ht="12" hidden="false" customHeight="false" outlineLevel="0" collapsed="false">
      <c r="A787" s="134"/>
      <c r="B787" s="135"/>
      <c r="C787" s="143"/>
      <c r="D787" s="143"/>
      <c r="E787" s="143"/>
      <c r="F787" s="143"/>
      <c r="G787" s="143"/>
      <c r="H787" s="143"/>
      <c r="I787" s="143"/>
      <c r="J787" s="143"/>
      <c r="K787" s="143"/>
      <c r="L787" s="144"/>
      <c r="M787" s="143"/>
      <c r="N787" s="145"/>
      <c r="O787" s="146"/>
      <c r="P787" s="144"/>
      <c r="Q787" s="147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  <c r="AC787" s="148"/>
      <c r="AD787" s="149"/>
      <c r="AE787" s="150"/>
      <c r="AF787" s="151"/>
      <c r="AG787" s="152"/>
      <c r="AH787" s="149"/>
    </row>
    <row r="788" customFormat="false" ht="12" hidden="false" customHeight="false" outlineLevel="0" collapsed="false">
      <c r="A788" s="134"/>
      <c r="B788" s="135"/>
      <c r="C788" s="143"/>
      <c r="D788" s="143"/>
      <c r="E788" s="143"/>
      <c r="F788" s="143"/>
      <c r="G788" s="143"/>
      <c r="H788" s="143"/>
      <c r="I788" s="143"/>
      <c r="J788" s="143"/>
      <c r="K788" s="143"/>
      <c r="L788" s="144"/>
      <c r="M788" s="143"/>
      <c r="N788" s="145"/>
      <c r="O788" s="146"/>
      <c r="P788" s="144"/>
      <c r="Q788" s="147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  <c r="AC788" s="148"/>
      <c r="AD788" s="149"/>
      <c r="AE788" s="150"/>
      <c r="AF788" s="151"/>
      <c r="AG788" s="152"/>
      <c r="AH788" s="149"/>
    </row>
    <row r="789" customFormat="false" ht="12" hidden="false" customHeight="false" outlineLevel="0" collapsed="false">
      <c r="A789" s="134"/>
      <c r="B789" s="135"/>
      <c r="C789" s="143"/>
      <c r="D789" s="143"/>
      <c r="E789" s="143"/>
      <c r="F789" s="143"/>
      <c r="G789" s="143"/>
      <c r="H789" s="143"/>
      <c r="I789" s="143"/>
      <c r="J789" s="143"/>
      <c r="K789" s="143"/>
      <c r="L789" s="144"/>
      <c r="M789" s="143"/>
      <c r="N789" s="145"/>
      <c r="O789" s="146"/>
      <c r="P789" s="144"/>
      <c r="Q789" s="147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  <c r="AC789" s="148"/>
      <c r="AD789" s="149"/>
      <c r="AE789" s="150"/>
      <c r="AF789" s="151"/>
      <c r="AG789" s="152"/>
      <c r="AH789" s="149"/>
    </row>
    <row r="790" customFormat="false" ht="12" hidden="false" customHeight="false" outlineLevel="0" collapsed="false">
      <c r="A790" s="134"/>
      <c r="B790" s="135"/>
      <c r="C790" s="143"/>
      <c r="D790" s="143"/>
      <c r="E790" s="143"/>
      <c r="F790" s="143"/>
      <c r="G790" s="143"/>
      <c r="H790" s="143"/>
      <c r="I790" s="143"/>
      <c r="J790" s="143"/>
      <c r="K790" s="143"/>
      <c r="L790" s="144"/>
      <c r="M790" s="143"/>
      <c r="N790" s="145"/>
      <c r="O790" s="146"/>
      <c r="P790" s="144"/>
      <c r="Q790" s="147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  <c r="AC790" s="148"/>
      <c r="AD790" s="149"/>
      <c r="AE790" s="150"/>
      <c r="AF790" s="151"/>
      <c r="AG790" s="152"/>
      <c r="AH790" s="149"/>
    </row>
    <row r="791" customFormat="false" ht="12" hidden="false" customHeight="false" outlineLevel="0" collapsed="false">
      <c r="A791" s="134"/>
      <c r="B791" s="135"/>
      <c r="C791" s="143"/>
      <c r="D791" s="143"/>
      <c r="E791" s="143"/>
      <c r="F791" s="143"/>
      <c r="G791" s="143"/>
      <c r="H791" s="143"/>
      <c r="I791" s="143"/>
      <c r="J791" s="143"/>
      <c r="K791" s="143"/>
      <c r="L791" s="144"/>
      <c r="M791" s="143"/>
      <c r="N791" s="145"/>
      <c r="O791" s="146"/>
      <c r="P791" s="144"/>
      <c r="Q791" s="147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  <c r="AC791" s="148"/>
      <c r="AD791" s="149"/>
      <c r="AE791" s="150"/>
      <c r="AF791" s="151"/>
      <c r="AG791" s="152"/>
      <c r="AH791" s="149"/>
    </row>
    <row r="792" customFormat="false" ht="12" hidden="false" customHeight="false" outlineLevel="0" collapsed="false">
      <c r="A792" s="134"/>
      <c r="B792" s="135"/>
      <c r="C792" s="143"/>
      <c r="D792" s="143"/>
      <c r="E792" s="143"/>
      <c r="F792" s="143"/>
      <c r="G792" s="143"/>
      <c r="H792" s="143"/>
      <c r="I792" s="143"/>
      <c r="J792" s="143"/>
      <c r="K792" s="143"/>
      <c r="L792" s="144"/>
      <c r="M792" s="143"/>
      <c r="N792" s="145"/>
      <c r="O792" s="146"/>
      <c r="P792" s="144"/>
      <c r="Q792" s="147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  <c r="AC792" s="148"/>
      <c r="AD792" s="149"/>
      <c r="AE792" s="150"/>
      <c r="AF792" s="151"/>
      <c r="AG792" s="152"/>
      <c r="AH792" s="149"/>
    </row>
    <row r="793" customFormat="false" ht="12" hidden="false" customHeight="false" outlineLevel="0" collapsed="false">
      <c r="A793" s="134"/>
      <c r="B793" s="135"/>
      <c r="C793" s="143"/>
      <c r="D793" s="143"/>
      <c r="E793" s="143"/>
      <c r="F793" s="143"/>
      <c r="G793" s="143"/>
      <c r="H793" s="143"/>
      <c r="I793" s="143"/>
      <c r="J793" s="143"/>
      <c r="K793" s="143"/>
      <c r="L793" s="144"/>
      <c r="M793" s="143"/>
      <c r="N793" s="145"/>
      <c r="O793" s="146"/>
      <c r="P793" s="144"/>
      <c r="Q793" s="147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  <c r="AC793" s="148"/>
      <c r="AD793" s="149"/>
      <c r="AE793" s="150"/>
      <c r="AF793" s="151"/>
      <c r="AG793" s="152"/>
      <c r="AH793" s="149"/>
    </row>
    <row r="794" customFormat="false" ht="12" hidden="false" customHeight="false" outlineLevel="0" collapsed="false">
      <c r="A794" s="134"/>
      <c r="B794" s="135"/>
      <c r="C794" s="143"/>
      <c r="D794" s="143"/>
      <c r="E794" s="143"/>
      <c r="F794" s="143"/>
      <c r="G794" s="143"/>
      <c r="H794" s="143"/>
      <c r="I794" s="143"/>
      <c r="J794" s="143"/>
      <c r="K794" s="143"/>
      <c r="L794" s="144"/>
      <c r="M794" s="143"/>
      <c r="N794" s="145"/>
      <c r="O794" s="146"/>
      <c r="P794" s="144"/>
      <c r="Q794" s="147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  <c r="AC794" s="148"/>
      <c r="AD794" s="149"/>
      <c r="AE794" s="150"/>
      <c r="AF794" s="151"/>
      <c r="AG794" s="152"/>
      <c r="AH794" s="149"/>
    </row>
    <row r="795" customFormat="false" ht="12" hidden="false" customHeight="false" outlineLevel="0" collapsed="false">
      <c r="A795" s="134"/>
      <c r="B795" s="135"/>
      <c r="C795" s="143"/>
      <c r="D795" s="143"/>
      <c r="E795" s="143"/>
      <c r="F795" s="143"/>
      <c r="G795" s="143"/>
      <c r="H795" s="143"/>
      <c r="I795" s="143"/>
      <c r="J795" s="143"/>
      <c r="K795" s="143"/>
      <c r="L795" s="144"/>
      <c r="M795" s="143"/>
      <c r="N795" s="145"/>
      <c r="O795" s="146"/>
      <c r="P795" s="144"/>
      <c r="Q795" s="147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  <c r="AC795" s="148"/>
      <c r="AD795" s="149"/>
      <c r="AE795" s="150"/>
      <c r="AF795" s="151"/>
      <c r="AG795" s="152"/>
      <c r="AH795" s="149"/>
    </row>
    <row r="796" customFormat="false" ht="12" hidden="false" customHeight="false" outlineLevel="0" collapsed="false">
      <c r="A796" s="134"/>
      <c r="B796" s="135"/>
      <c r="C796" s="143"/>
      <c r="D796" s="143"/>
      <c r="E796" s="143"/>
      <c r="F796" s="143"/>
      <c r="G796" s="143"/>
      <c r="H796" s="143"/>
      <c r="I796" s="143"/>
      <c r="J796" s="143"/>
      <c r="K796" s="143"/>
      <c r="L796" s="144"/>
      <c r="M796" s="143"/>
      <c r="N796" s="145"/>
      <c r="O796" s="146"/>
      <c r="P796" s="144"/>
      <c r="Q796" s="147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  <c r="AC796" s="148"/>
      <c r="AD796" s="149"/>
      <c r="AE796" s="150"/>
      <c r="AF796" s="151"/>
      <c r="AG796" s="152"/>
      <c r="AH796" s="149"/>
    </row>
    <row r="797" customFormat="false" ht="12" hidden="false" customHeight="false" outlineLevel="0" collapsed="false">
      <c r="A797" s="134"/>
      <c r="B797" s="135"/>
      <c r="C797" s="143"/>
      <c r="D797" s="143"/>
      <c r="E797" s="143"/>
      <c r="F797" s="143"/>
      <c r="G797" s="143"/>
      <c r="H797" s="143"/>
      <c r="I797" s="143"/>
      <c r="J797" s="143"/>
      <c r="K797" s="143"/>
      <c r="L797" s="144"/>
      <c r="M797" s="143"/>
      <c r="N797" s="145"/>
      <c r="O797" s="146"/>
      <c r="P797" s="144"/>
      <c r="Q797" s="147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  <c r="AC797" s="148"/>
      <c r="AD797" s="149"/>
      <c r="AE797" s="150"/>
      <c r="AF797" s="151"/>
      <c r="AG797" s="152"/>
      <c r="AH797" s="149"/>
    </row>
    <row r="798" customFormat="false" ht="12" hidden="false" customHeight="false" outlineLevel="0" collapsed="false">
      <c r="A798" s="134"/>
      <c r="B798" s="135"/>
      <c r="C798" s="143"/>
      <c r="D798" s="143"/>
      <c r="E798" s="143"/>
      <c r="F798" s="143"/>
      <c r="G798" s="143"/>
      <c r="H798" s="143"/>
      <c r="I798" s="143"/>
      <c r="J798" s="143"/>
      <c r="K798" s="143"/>
      <c r="L798" s="144"/>
      <c r="M798" s="143"/>
      <c r="N798" s="145"/>
      <c r="O798" s="146"/>
      <c r="P798" s="144"/>
      <c r="Q798" s="147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  <c r="AC798" s="148"/>
      <c r="AD798" s="149"/>
      <c r="AE798" s="150"/>
      <c r="AF798" s="151"/>
      <c r="AG798" s="152"/>
      <c r="AH798" s="149"/>
    </row>
    <row r="799" customFormat="false" ht="12" hidden="false" customHeight="false" outlineLevel="0" collapsed="false">
      <c r="A799" s="134"/>
      <c r="B799" s="135"/>
      <c r="C799" s="143"/>
      <c r="D799" s="143"/>
      <c r="E799" s="143"/>
      <c r="F799" s="143"/>
      <c r="G799" s="143"/>
      <c r="H799" s="143"/>
      <c r="I799" s="143"/>
      <c r="J799" s="143"/>
      <c r="K799" s="143"/>
      <c r="L799" s="144"/>
      <c r="M799" s="143"/>
      <c r="N799" s="145"/>
      <c r="O799" s="146"/>
      <c r="P799" s="144"/>
      <c r="Q799" s="147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  <c r="AC799" s="148"/>
      <c r="AD799" s="149"/>
      <c r="AE799" s="150"/>
      <c r="AF799" s="151"/>
      <c r="AG799" s="152"/>
      <c r="AH799" s="149"/>
    </row>
    <row r="800" customFormat="false" ht="12" hidden="false" customHeight="false" outlineLevel="0" collapsed="false">
      <c r="A800" s="134"/>
      <c r="B800" s="135"/>
      <c r="C800" s="143"/>
      <c r="D800" s="143"/>
      <c r="E800" s="143"/>
      <c r="F800" s="143"/>
      <c r="G800" s="143"/>
      <c r="H800" s="143"/>
      <c r="I800" s="143"/>
      <c r="J800" s="143"/>
      <c r="K800" s="143"/>
      <c r="L800" s="144"/>
      <c r="M800" s="143"/>
      <c r="N800" s="145"/>
      <c r="O800" s="146"/>
      <c r="P800" s="144"/>
      <c r="Q800" s="147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  <c r="AC800" s="148"/>
      <c r="AD800" s="149"/>
      <c r="AE800" s="150"/>
      <c r="AF800" s="151"/>
      <c r="AG800" s="152"/>
      <c r="AH800" s="149"/>
    </row>
    <row r="801" customFormat="false" ht="12" hidden="false" customHeight="false" outlineLevel="0" collapsed="false">
      <c r="A801" s="134"/>
      <c r="B801" s="135"/>
      <c r="C801" s="143"/>
      <c r="D801" s="143"/>
      <c r="E801" s="143"/>
      <c r="F801" s="143"/>
      <c r="G801" s="143"/>
      <c r="H801" s="143"/>
      <c r="I801" s="143"/>
      <c r="J801" s="143"/>
      <c r="K801" s="143"/>
      <c r="L801" s="144"/>
      <c r="M801" s="143"/>
      <c r="N801" s="145"/>
      <c r="O801" s="146"/>
      <c r="P801" s="144"/>
      <c r="Q801" s="147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  <c r="AC801" s="148"/>
      <c r="AD801" s="149"/>
      <c r="AE801" s="150"/>
      <c r="AF801" s="151"/>
      <c r="AG801" s="152"/>
      <c r="AH801" s="149"/>
    </row>
    <row r="802" customFormat="false" ht="12" hidden="false" customHeight="false" outlineLevel="0" collapsed="false">
      <c r="A802" s="134"/>
      <c r="B802" s="135"/>
      <c r="C802" s="143"/>
      <c r="D802" s="143"/>
      <c r="E802" s="143"/>
      <c r="F802" s="143"/>
      <c r="G802" s="143"/>
      <c r="H802" s="143"/>
      <c r="I802" s="143"/>
      <c r="J802" s="143"/>
      <c r="K802" s="143"/>
      <c r="L802" s="144"/>
      <c r="M802" s="143"/>
      <c r="N802" s="145"/>
      <c r="O802" s="146"/>
      <c r="P802" s="144"/>
      <c r="Q802" s="147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  <c r="AC802" s="148"/>
      <c r="AD802" s="149"/>
      <c r="AE802" s="150"/>
      <c r="AF802" s="151"/>
      <c r="AG802" s="152"/>
      <c r="AH802" s="149"/>
    </row>
    <row r="803" customFormat="false" ht="12" hidden="false" customHeight="false" outlineLevel="0" collapsed="false">
      <c r="A803" s="134"/>
      <c r="B803" s="135"/>
      <c r="C803" s="143"/>
      <c r="D803" s="143"/>
      <c r="E803" s="143"/>
      <c r="F803" s="143"/>
      <c r="G803" s="143"/>
      <c r="H803" s="143"/>
      <c r="I803" s="143"/>
      <c r="J803" s="143"/>
      <c r="K803" s="143"/>
      <c r="L803" s="144"/>
      <c r="M803" s="143"/>
      <c r="N803" s="145"/>
      <c r="O803" s="146"/>
      <c r="P803" s="144"/>
      <c r="Q803" s="147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  <c r="AC803" s="148"/>
      <c r="AD803" s="149"/>
      <c r="AE803" s="150"/>
      <c r="AF803" s="151"/>
      <c r="AG803" s="152"/>
      <c r="AH803" s="149"/>
    </row>
    <row r="804" customFormat="false" ht="12" hidden="false" customHeight="false" outlineLevel="0" collapsed="false">
      <c r="A804" s="134"/>
      <c r="B804" s="135"/>
      <c r="C804" s="143"/>
      <c r="D804" s="143"/>
      <c r="E804" s="143"/>
      <c r="F804" s="143"/>
      <c r="G804" s="143"/>
      <c r="H804" s="143"/>
      <c r="I804" s="143"/>
      <c r="J804" s="143"/>
      <c r="K804" s="143"/>
      <c r="L804" s="144"/>
      <c r="M804" s="143"/>
      <c r="N804" s="145"/>
      <c r="O804" s="146"/>
      <c r="P804" s="144"/>
      <c r="Q804" s="147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  <c r="AC804" s="148"/>
      <c r="AD804" s="149"/>
      <c r="AE804" s="150"/>
      <c r="AF804" s="151"/>
      <c r="AG804" s="152"/>
      <c r="AH804" s="149"/>
    </row>
    <row r="805" customFormat="false" ht="12" hidden="false" customHeight="false" outlineLevel="0" collapsed="false">
      <c r="A805" s="134"/>
      <c r="B805" s="135"/>
      <c r="C805" s="143"/>
      <c r="D805" s="143"/>
      <c r="E805" s="143"/>
      <c r="F805" s="143"/>
      <c r="G805" s="143"/>
      <c r="H805" s="143"/>
      <c r="I805" s="143"/>
      <c r="J805" s="143"/>
      <c r="K805" s="143"/>
      <c r="L805" s="144"/>
      <c r="M805" s="143"/>
      <c r="N805" s="145"/>
      <c r="O805" s="146"/>
      <c r="P805" s="144"/>
      <c r="Q805" s="147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  <c r="AC805" s="148"/>
      <c r="AD805" s="149"/>
      <c r="AE805" s="150"/>
      <c r="AF805" s="151"/>
      <c r="AG805" s="152"/>
      <c r="AH805" s="149"/>
    </row>
    <row r="806" customFormat="false" ht="12" hidden="false" customHeight="false" outlineLevel="0" collapsed="false">
      <c r="A806" s="134"/>
      <c r="B806" s="135"/>
      <c r="C806" s="143"/>
      <c r="D806" s="143"/>
      <c r="E806" s="143"/>
      <c r="F806" s="143"/>
      <c r="G806" s="143"/>
      <c r="H806" s="143"/>
      <c r="I806" s="143"/>
      <c r="J806" s="143"/>
      <c r="K806" s="143"/>
      <c r="L806" s="144"/>
      <c r="M806" s="143"/>
      <c r="N806" s="145"/>
      <c r="O806" s="146"/>
      <c r="P806" s="144"/>
      <c r="Q806" s="147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  <c r="AC806" s="148"/>
      <c r="AD806" s="149"/>
      <c r="AE806" s="150"/>
      <c r="AF806" s="151"/>
      <c r="AG806" s="152"/>
      <c r="AH806" s="149"/>
    </row>
    <row r="807" customFormat="false" ht="12" hidden="false" customHeight="false" outlineLevel="0" collapsed="false">
      <c r="A807" s="134"/>
      <c r="B807" s="135"/>
      <c r="C807" s="143"/>
      <c r="D807" s="143"/>
      <c r="E807" s="143"/>
      <c r="F807" s="143"/>
      <c r="G807" s="143"/>
      <c r="H807" s="143"/>
      <c r="I807" s="143"/>
      <c r="J807" s="143"/>
      <c r="K807" s="143"/>
      <c r="L807" s="144"/>
      <c r="M807" s="143"/>
      <c r="N807" s="145"/>
      <c r="O807" s="146"/>
      <c r="P807" s="144"/>
      <c r="Q807" s="147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  <c r="AC807" s="148"/>
      <c r="AD807" s="149"/>
      <c r="AE807" s="150"/>
      <c r="AF807" s="151"/>
      <c r="AG807" s="152"/>
      <c r="AH807" s="149"/>
    </row>
    <row r="808" customFormat="false" ht="12" hidden="false" customHeight="false" outlineLevel="0" collapsed="false">
      <c r="A808" s="134"/>
      <c r="B808" s="135"/>
      <c r="C808" s="143"/>
      <c r="D808" s="143"/>
      <c r="E808" s="143"/>
      <c r="F808" s="143"/>
      <c r="G808" s="143"/>
      <c r="H808" s="143"/>
      <c r="I808" s="143"/>
      <c r="J808" s="143"/>
      <c r="K808" s="143"/>
      <c r="L808" s="144"/>
      <c r="M808" s="143"/>
      <c r="N808" s="145"/>
      <c r="O808" s="146"/>
      <c r="P808" s="144"/>
      <c r="Q808" s="147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  <c r="AC808" s="148"/>
      <c r="AD808" s="149"/>
      <c r="AE808" s="150"/>
      <c r="AF808" s="151"/>
      <c r="AG808" s="152"/>
      <c r="AH808" s="149"/>
    </row>
    <row r="809" customFormat="false" ht="12" hidden="false" customHeight="false" outlineLevel="0" collapsed="false">
      <c r="A809" s="134"/>
      <c r="B809" s="135"/>
      <c r="C809" s="143"/>
      <c r="D809" s="143"/>
      <c r="E809" s="143"/>
      <c r="F809" s="143"/>
      <c r="G809" s="143"/>
      <c r="H809" s="143"/>
      <c r="I809" s="143"/>
      <c r="J809" s="143"/>
      <c r="K809" s="143"/>
      <c r="L809" s="144"/>
      <c r="M809" s="143"/>
      <c r="N809" s="145"/>
      <c r="O809" s="146"/>
      <c r="P809" s="144"/>
      <c r="Q809" s="147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  <c r="AC809" s="148"/>
      <c r="AD809" s="149"/>
      <c r="AE809" s="150"/>
      <c r="AF809" s="151"/>
      <c r="AG809" s="152"/>
      <c r="AH809" s="149"/>
    </row>
    <row r="810" customFormat="false" ht="12" hidden="false" customHeight="false" outlineLevel="0" collapsed="false">
      <c r="A810" s="134"/>
      <c r="B810" s="135"/>
      <c r="C810" s="143"/>
      <c r="D810" s="143"/>
      <c r="E810" s="143"/>
      <c r="F810" s="143"/>
      <c r="G810" s="143"/>
      <c r="H810" s="143"/>
      <c r="I810" s="143"/>
      <c r="J810" s="143"/>
      <c r="K810" s="143"/>
      <c r="L810" s="144"/>
      <c r="M810" s="143"/>
      <c r="N810" s="145"/>
      <c r="O810" s="146"/>
      <c r="P810" s="144"/>
      <c r="Q810" s="147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  <c r="AC810" s="148"/>
      <c r="AD810" s="149"/>
      <c r="AE810" s="150"/>
      <c r="AF810" s="151"/>
      <c r="AG810" s="152"/>
      <c r="AH810" s="149"/>
    </row>
    <row r="811" customFormat="false" ht="12" hidden="false" customHeight="false" outlineLevel="0" collapsed="false">
      <c r="A811" s="134"/>
      <c r="B811" s="135"/>
      <c r="C811" s="143"/>
      <c r="D811" s="143"/>
      <c r="E811" s="143"/>
      <c r="F811" s="143"/>
      <c r="G811" s="143"/>
      <c r="H811" s="143"/>
      <c r="I811" s="143"/>
      <c r="J811" s="143"/>
      <c r="K811" s="143"/>
      <c r="L811" s="144"/>
      <c r="M811" s="143"/>
      <c r="N811" s="145"/>
      <c r="O811" s="146"/>
      <c r="P811" s="144"/>
      <c r="Q811" s="147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  <c r="AC811" s="148"/>
      <c r="AD811" s="149"/>
      <c r="AE811" s="150"/>
      <c r="AF811" s="151"/>
      <c r="AG811" s="152"/>
      <c r="AH811" s="149"/>
    </row>
    <row r="812" customFormat="false" ht="12" hidden="false" customHeight="false" outlineLevel="0" collapsed="false">
      <c r="A812" s="134"/>
      <c r="B812" s="135"/>
      <c r="C812" s="143"/>
      <c r="D812" s="143"/>
      <c r="E812" s="143"/>
      <c r="F812" s="143"/>
      <c r="G812" s="143"/>
      <c r="H812" s="143"/>
      <c r="I812" s="143"/>
      <c r="J812" s="143"/>
      <c r="K812" s="143"/>
      <c r="L812" s="144"/>
      <c r="M812" s="143"/>
      <c r="N812" s="145"/>
      <c r="O812" s="146"/>
      <c r="P812" s="144"/>
      <c r="Q812" s="147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  <c r="AC812" s="148"/>
      <c r="AD812" s="149"/>
      <c r="AE812" s="150"/>
      <c r="AF812" s="151"/>
      <c r="AG812" s="152"/>
      <c r="AH812" s="149"/>
    </row>
    <row r="813" customFormat="false" ht="12" hidden="false" customHeight="false" outlineLevel="0" collapsed="false">
      <c r="A813" s="134"/>
      <c r="B813" s="135"/>
      <c r="C813" s="143"/>
      <c r="D813" s="143"/>
      <c r="E813" s="143"/>
      <c r="F813" s="143"/>
      <c r="G813" s="143"/>
      <c r="H813" s="143"/>
      <c r="I813" s="143"/>
      <c r="J813" s="143"/>
      <c r="K813" s="143"/>
      <c r="L813" s="144"/>
      <c r="M813" s="143"/>
      <c r="N813" s="145"/>
      <c r="O813" s="146"/>
      <c r="P813" s="144"/>
      <c r="Q813" s="147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  <c r="AC813" s="148"/>
      <c r="AD813" s="149"/>
      <c r="AE813" s="150"/>
      <c r="AF813" s="151"/>
      <c r="AG813" s="152"/>
      <c r="AH813" s="149"/>
    </row>
    <row r="814" customFormat="false" ht="12" hidden="false" customHeight="false" outlineLevel="0" collapsed="false">
      <c r="A814" s="134"/>
      <c r="B814" s="135"/>
      <c r="C814" s="143"/>
      <c r="D814" s="143"/>
      <c r="E814" s="143"/>
      <c r="F814" s="143"/>
      <c r="G814" s="143"/>
      <c r="H814" s="143"/>
      <c r="I814" s="143"/>
      <c r="J814" s="143"/>
      <c r="K814" s="143"/>
      <c r="L814" s="144"/>
      <c r="M814" s="143"/>
      <c r="N814" s="145"/>
      <c r="O814" s="146"/>
      <c r="P814" s="144"/>
      <c r="Q814" s="147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  <c r="AC814" s="148"/>
      <c r="AD814" s="149"/>
      <c r="AE814" s="150"/>
      <c r="AF814" s="151"/>
      <c r="AG814" s="152"/>
      <c r="AH814" s="149"/>
    </row>
    <row r="815" customFormat="false" ht="12" hidden="false" customHeight="false" outlineLevel="0" collapsed="false">
      <c r="A815" s="134"/>
      <c r="B815" s="135"/>
      <c r="C815" s="143"/>
      <c r="D815" s="143"/>
      <c r="E815" s="143"/>
      <c r="F815" s="143"/>
      <c r="G815" s="143"/>
      <c r="H815" s="143"/>
      <c r="I815" s="143"/>
      <c r="J815" s="143"/>
      <c r="K815" s="143"/>
      <c r="L815" s="144"/>
      <c r="M815" s="143"/>
      <c r="N815" s="145"/>
      <c r="O815" s="146"/>
      <c r="P815" s="144"/>
      <c r="Q815" s="147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  <c r="AC815" s="148"/>
      <c r="AD815" s="149"/>
      <c r="AE815" s="150"/>
      <c r="AF815" s="151"/>
      <c r="AG815" s="152"/>
      <c r="AH815" s="149"/>
    </row>
    <row r="816" customFormat="false" ht="12" hidden="false" customHeight="false" outlineLevel="0" collapsed="false">
      <c r="A816" s="134"/>
      <c r="B816" s="135"/>
      <c r="C816" s="143"/>
      <c r="D816" s="143"/>
      <c r="E816" s="143"/>
      <c r="F816" s="143"/>
      <c r="G816" s="143"/>
      <c r="H816" s="143"/>
      <c r="I816" s="143"/>
      <c r="J816" s="143"/>
      <c r="K816" s="143"/>
      <c r="L816" s="144"/>
      <c r="M816" s="143"/>
      <c r="N816" s="145"/>
      <c r="O816" s="146"/>
      <c r="P816" s="144"/>
      <c r="Q816" s="147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  <c r="AC816" s="148"/>
      <c r="AD816" s="149"/>
      <c r="AE816" s="150"/>
      <c r="AF816" s="151"/>
      <c r="AG816" s="152"/>
      <c r="AH816" s="149"/>
    </row>
    <row r="817" customFormat="false" ht="12" hidden="false" customHeight="false" outlineLevel="0" collapsed="false">
      <c r="A817" s="134"/>
      <c r="B817" s="135"/>
      <c r="C817" s="143"/>
      <c r="D817" s="143"/>
      <c r="E817" s="143"/>
      <c r="F817" s="143"/>
      <c r="G817" s="143"/>
      <c r="H817" s="143"/>
      <c r="I817" s="143"/>
      <c r="J817" s="143"/>
      <c r="K817" s="143"/>
      <c r="L817" s="144"/>
      <c r="M817" s="143"/>
      <c r="N817" s="145"/>
      <c r="O817" s="146"/>
      <c r="P817" s="144"/>
      <c r="Q817" s="147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  <c r="AC817" s="148"/>
      <c r="AD817" s="149"/>
      <c r="AE817" s="150"/>
      <c r="AF817" s="151"/>
      <c r="AG817" s="152"/>
      <c r="AH817" s="149"/>
    </row>
    <row r="818" customFormat="false" ht="12" hidden="false" customHeight="false" outlineLevel="0" collapsed="false">
      <c r="A818" s="134"/>
      <c r="B818" s="135"/>
      <c r="C818" s="143"/>
      <c r="D818" s="143"/>
      <c r="E818" s="143"/>
      <c r="F818" s="143"/>
      <c r="G818" s="143"/>
      <c r="H818" s="143"/>
      <c r="I818" s="143"/>
      <c r="J818" s="143"/>
      <c r="K818" s="143"/>
      <c r="L818" s="144"/>
      <c r="M818" s="143"/>
      <c r="N818" s="145"/>
      <c r="O818" s="146"/>
      <c r="P818" s="144"/>
      <c r="Q818" s="147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  <c r="AC818" s="148"/>
      <c r="AD818" s="149"/>
      <c r="AE818" s="150"/>
      <c r="AF818" s="151"/>
      <c r="AG818" s="152"/>
      <c r="AH818" s="149"/>
    </row>
    <row r="819" customFormat="false" ht="12" hidden="false" customHeight="false" outlineLevel="0" collapsed="false">
      <c r="A819" s="134"/>
      <c r="B819" s="135"/>
      <c r="C819" s="143"/>
      <c r="D819" s="143"/>
      <c r="E819" s="143"/>
      <c r="F819" s="143"/>
      <c r="G819" s="143"/>
      <c r="H819" s="143"/>
      <c r="I819" s="143"/>
      <c r="J819" s="143"/>
      <c r="K819" s="143"/>
      <c r="L819" s="144"/>
      <c r="M819" s="143"/>
      <c r="N819" s="145"/>
      <c r="O819" s="146"/>
      <c r="P819" s="144"/>
      <c r="Q819" s="147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  <c r="AC819" s="148"/>
      <c r="AD819" s="149"/>
      <c r="AE819" s="150"/>
      <c r="AF819" s="151"/>
      <c r="AG819" s="152"/>
      <c r="AH819" s="149"/>
    </row>
    <row r="820" customFormat="false" ht="12" hidden="false" customHeight="false" outlineLevel="0" collapsed="false">
      <c r="A820" s="134"/>
      <c r="B820" s="135"/>
      <c r="C820" s="143"/>
      <c r="D820" s="143"/>
      <c r="E820" s="143"/>
      <c r="F820" s="143"/>
      <c r="G820" s="143"/>
      <c r="H820" s="143"/>
      <c r="I820" s="143"/>
      <c r="J820" s="143"/>
      <c r="K820" s="143"/>
      <c r="L820" s="144"/>
      <c r="M820" s="143"/>
      <c r="N820" s="145"/>
      <c r="O820" s="146"/>
      <c r="P820" s="144"/>
      <c r="Q820" s="147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  <c r="AC820" s="148"/>
      <c r="AD820" s="149"/>
      <c r="AE820" s="150"/>
      <c r="AF820" s="151"/>
      <c r="AG820" s="152"/>
      <c r="AH820" s="149"/>
    </row>
    <row r="821" customFormat="false" ht="12" hidden="false" customHeight="false" outlineLevel="0" collapsed="false">
      <c r="A821" s="134"/>
      <c r="B821" s="135"/>
      <c r="C821" s="143"/>
      <c r="D821" s="143"/>
      <c r="E821" s="143"/>
      <c r="F821" s="143"/>
      <c r="G821" s="143"/>
      <c r="H821" s="143"/>
      <c r="I821" s="143"/>
      <c r="J821" s="143"/>
      <c r="K821" s="143"/>
      <c r="L821" s="144"/>
      <c r="M821" s="143"/>
      <c r="N821" s="145"/>
      <c r="O821" s="146"/>
      <c r="P821" s="144"/>
      <c r="Q821" s="147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  <c r="AC821" s="148"/>
      <c r="AD821" s="149"/>
      <c r="AE821" s="150"/>
      <c r="AF821" s="151"/>
      <c r="AG821" s="152"/>
      <c r="AH821" s="149"/>
    </row>
    <row r="822" customFormat="false" ht="12" hidden="false" customHeight="false" outlineLevel="0" collapsed="false">
      <c r="A822" s="134"/>
      <c r="B822" s="135"/>
      <c r="C822" s="143"/>
      <c r="D822" s="143"/>
      <c r="E822" s="143"/>
      <c r="F822" s="143"/>
      <c r="G822" s="143"/>
      <c r="H822" s="143"/>
      <c r="I822" s="143"/>
      <c r="J822" s="143"/>
      <c r="K822" s="143"/>
      <c r="L822" s="144"/>
      <c r="M822" s="143"/>
      <c r="N822" s="145"/>
      <c r="O822" s="146"/>
      <c r="P822" s="144"/>
      <c r="Q822" s="147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  <c r="AC822" s="148"/>
      <c r="AD822" s="149"/>
      <c r="AE822" s="150"/>
      <c r="AF822" s="151"/>
      <c r="AG822" s="152"/>
      <c r="AH822" s="149"/>
    </row>
    <row r="823" customFormat="false" ht="12" hidden="false" customHeight="false" outlineLevel="0" collapsed="false">
      <c r="A823" s="134"/>
      <c r="B823" s="135"/>
      <c r="C823" s="143"/>
      <c r="D823" s="143"/>
      <c r="E823" s="143"/>
      <c r="F823" s="143"/>
      <c r="G823" s="143"/>
      <c r="H823" s="143"/>
      <c r="I823" s="143"/>
      <c r="J823" s="143"/>
      <c r="K823" s="143"/>
      <c r="L823" s="144"/>
      <c r="M823" s="143"/>
      <c r="N823" s="145"/>
      <c r="O823" s="146"/>
      <c r="P823" s="144"/>
      <c r="Q823" s="147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  <c r="AC823" s="148"/>
      <c r="AD823" s="149"/>
      <c r="AE823" s="150"/>
      <c r="AF823" s="151"/>
      <c r="AG823" s="152"/>
      <c r="AH823" s="149"/>
    </row>
    <row r="824" customFormat="false" ht="12" hidden="false" customHeight="false" outlineLevel="0" collapsed="false">
      <c r="A824" s="134"/>
      <c r="B824" s="135"/>
      <c r="C824" s="143"/>
      <c r="D824" s="143"/>
      <c r="E824" s="143"/>
      <c r="F824" s="143"/>
      <c r="G824" s="143"/>
      <c r="H824" s="143"/>
      <c r="I824" s="143"/>
      <c r="J824" s="143"/>
      <c r="K824" s="143"/>
      <c r="L824" s="144"/>
      <c r="M824" s="143"/>
      <c r="N824" s="145"/>
      <c r="O824" s="146"/>
      <c r="P824" s="144"/>
      <c r="Q824" s="147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  <c r="AC824" s="148"/>
      <c r="AD824" s="149"/>
      <c r="AE824" s="150"/>
      <c r="AF824" s="151"/>
      <c r="AG824" s="152"/>
      <c r="AH824" s="149"/>
    </row>
    <row r="825" customFormat="false" ht="12" hidden="false" customHeight="false" outlineLevel="0" collapsed="false">
      <c r="A825" s="134"/>
      <c r="B825" s="135"/>
      <c r="C825" s="143"/>
      <c r="D825" s="143"/>
      <c r="E825" s="143"/>
      <c r="F825" s="143"/>
      <c r="G825" s="143"/>
      <c r="H825" s="143"/>
      <c r="I825" s="143"/>
      <c r="J825" s="143"/>
      <c r="K825" s="143"/>
      <c r="L825" s="144"/>
      <c r="M825" s="143"/>
      <c r="N825" s="145"/>
      <c r="O825" s="146"/>
      <c r="P825" s="144"/>
      <c r="Q825" s="147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  <c r="AC825" s="148"/>
      <c r="AD825" s="149"/>
      <c r="AE825" s="150"/>
      <c r="AF825" s="151"/>
      <c r="AG825" s="152"/>
      <c r="AH825" s="149"/>
    </row>
    <row r="826" customFormat="false" ht="12" hidden="false" customHeight="false" outlineLevel="0" collapsed="false">
      <c r="A826" s="134"/>
      <c r="B826" s="135"/>
      <c r="C826" s="143"/>
      <c r="D826" s="143"/>
      <c r="E826" s="143"/>
      <c r="F826" s="143"/>
      <c r="G826" s="143"/>
      <c r="H826" s="143"/>
      <c r="I826" s="143"/>
      <c r="J826" s="143"/>
      <c r="K826" s="143"/>
      <c r="L826" s="144"/>
      <c r="M826" s="143"/>
      <c r="N826" s="145"/>
      <c r="O826" s="146"/>
      <c r="P826" s="144"/>
      <c r="Q826" s="147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  <c r="AC826" s="148"/>
      <c r="AD826" s="149"/>
      <c r="AE826" s="150"/>
      <c r="AF826" s="151"/>
      <c r="AG826" s="152"/>
      <c r="AH826" s="149"/>
    </row>
    <row r="827" customFormat="false" ht="12" hidden="false" customHeight="false" outlineLevel="0" collapsed="false">
      <c r="A827" s="134"/>
      <c r="B827" s="135"/>
      <c r="C827" s="143"/>
      <c r="D827" s="143"/>
      <c r="E827" s="143"/>
      <c r="F827" s="143"/>
      <c r="G827" s="143"/>
      <c r="H827" s="143"/>
      <c r="I827" s="143"/>
      <c r="J827" s="143"/>
      <c r="K827" s="143"/>
      <c r="L827" s="144"/>
      <c r="M827" s="143"/>
      <c r="N827" s="145"/>
      <c r="O827" s="146"/>
      <c r="P827" s="144"/>
      <c r="Q827" s="147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  <c r="AC827" s="148"/>
      <c r="AD827" s="149"/>
      <c r="AE827" s="150"/>
      <c r="AF827" s="151"/>
      <c r="AG827" s="152"/>
      <c r="AH827" s="149"/>
    </row>
    <row r="828" customFormat="false" ht="12" hidden="false" customHeight="false" outlineLevel="0" collapsed="false">
      <c r="A828" s="134"/>
      <c r="B828" s="135"/>
      <c r="C828" s="143"/>
      <c r="D828" s="143"/>
      <c r="E828" s="143"/>
      <c r="F828" s="143"/>
      <c r="G828" s="143"/>
      <c r="H828" s="143"/>
      <c r="I828" s="143"/>
      <c r="J828" s="143"/>
      <c r="K828" s="143"/>
      <c r="L828" s="144"/>
      <c r="M828" s="143"/>
      <c r="N828" s="145"/>
      <c r="O828" s="146"/>
      <c r="P828" s="144"/>
      <c r="Q828" s="147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  <c r="AC828" s="148"/>
      <c r="AD828" s="149"/>
      <c r="AE828" s="150"/>
      <c r="AF828" s="151"/>
      <c r="AG828" s="152"/>
      <c r="AH828" s="149"/>
    </row>
    <row r="829" customFormat="false" ht="12" hidden="false" customHeight="false" outlineLevel="0" collapsed="false">
      <c r="A829" s="134"/>
      <c r="B829" s="135"/>
      <c r="C829" s="143"/>
      <c r="D829" s="143"/>
      <c r="E829" s="143"/>
      <c r="F829" s="143"/>
      <c r="G829" s="143"/>
      <c r="H829" s="143"/>
      <c r="I829" s="143"/>
      <c r="J829" s="143"/>
      <c r="K829" s="143"/>
      <c r="L829" s="144"/>
      <c r="M829" s="143"/>
      <c r="N829" s="145"/>
      <c r="O829" s="146"/>
      <c r="P829" s="144"/>
      <c r="Q829" s="147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  <c r="AC829" s="148"/>
      <c r="AD829" s="149"/>
      <c r="AE829" s="150"/>
      <c r="AF829" s="151"/>
      <c r="AG829" s="152"/>
      <c r="AH829" s="149"/>
    </row>
    <row r="830" customFormat="false" ht="12" hidden="false" customHeight="false" outlineLevel="0" collapsed="false">
      <c r="A830" s="134"/>
      <c r="B830" s="135"/>
      <c r="C830" s="143"/>
      <c r="D830" s="143"/>
      <c r="E830" s="143"/>
      <c r="F830" s="143"/>
      <c r="G830" s="143"/>
      <c r="H830" s="143"/>
      <c r="I830" s="143"/>
      <c r="J830" s="143"/>
      <c r="K830" s="143"/>
      <c r="L830" s="144"/>
      <c r="M830" s="143"/>
      <c r="N830" s="145"/>
      <c r="O830" s="146"/>
      <c r="P830" s="144"/>
      <c r="Q830" s="147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  <c r="AC830" s="148"/>
      <c r="AD830" s="149"/>
      <c r="AE830" s="150"/>
      <c r="AF830" s="151"/>
      <c r="AG830" s="152"/>
      <c r="AH830" s="149"/>
    </row>
    <row r="831" customFormat="false" ht="12" hidden="false" customHeight="false" outlineLevel="0" collapsed="false">
      <c r="A831" s="134"/>
      <c r="B831" s="135"/>
      <c r="C831" s="143"/>
      <c r="D831" s="143"/>
      <c r="E831" s="143"/>
      <c r="F831" s="143"/>
      <c r="G831" s="143"/>
      <c r="H831" s="143"/>
      <c r="I831" s="143"/>
      <c r="J831" s="143"/>
      <c r="K831" s="143"/>
      <c r="L831" s="144"/>
      <c r="M831" s="143"/>
      <c r="N831" s="145"/>
      <c r="O831" s="146"/>
      <c r="P831" s="144"/>
      <c r="Q831" s="147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  <c r="AC831" s="148"/>
      <c r="AD831" s="149"/>
      <c r="AE831" s="150"/>
      <c r="AF831" s="151"/>
      <c r="AG831" s="152"/>
      <c r="AH831" s="149"/>
    </row>
    <row r="832" customFormat="false" ht="12" hidden="false" customHeight="false" outlineLevel="0" collapsed="false">
      <c r="A832" s="134"/>
      <c r="B832" s="135"/>
      <c r="C832" s="143"/>
      <c r="D832" s="143"/>
      <c r="E832" s="143"/>
      <c r="F832" s="143"/>
      <c r="G832" s="143"/>
      <c r="H832" s="143"/>
      <c r="I832" s="143"/>
      <c r="J832" s="143"/>
      <c r="K832" s="143"/>
      <c r="L832" s="144"/>
      <c r="M832" s="143"/>
      <c r="N832" s="145"/>
      <c r="O832" s="146"/>
      <c r="P832" s="144"/>
      <c r="Q832" s="147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  <c r="AC832" s="148"/>
      <c r="AD832" s="149"/>
      <c r="AE832" s="150"/>
      <c r="AF832" s="151"/>
      <c r="AG832" s="152"/>
      <c r="AH832" s="149"/>
    </row>
    <row r="833" customFormat="false" ht="12" hidden="false" customHeight="false" outlineLevel="0" collapsed="false">
      <c r="A833" s="134"/>
      <c r="B833" s="135"/>
      <c r="C833" s="143"/>
      <c r="D833" s="143"/>
      <c r="E833" s="143"/>
      <c r="F833" s="143"/>
      <c r="G833" s="143"/>
      <c r="H833" s="143"/>
      <c r="I833" s="143"/>
      <c r="J833" s="143"/>
      <c r="K833" s="143"/>
      <c r="L833" s="144"/>
      <c r="M833" s="143"/>
      <c r="N833" s="145"/>
      <c r="O833" s="146"/>
      <c r="P833" s="144"/>
      <c r="Q833" s="147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  <c r="AC833" s="148"/>
      <c r="AD833" s="149"/>
      <c r="AE833" s="150"/>
      <c r="AF833" s="151"/>
      <c r="AG833" s="152"/>
      <c r="AH833" s="149"/>
    </row>
    <row r="834" customFormat="false" ht="12" hidden="false" customHeight="false" outlineLevel="0" collapsed="false">
      <c r="A834" s="134"/>
      <c r="B834" s="135"/>
      <c r="C834" s="143"/>
      <c r="D834" s="143"/>
      <c r="E834" s="143"/>
      <c r="F834" s="143"/>
      <c r="G834" s="143"/>
      <c r="H834" s="143"/>
      <c r="I834" s="143"/>
      <c r="J834" s="143"/>
      <c r="K834" s="143"/>
      <c r="L834" s="144"/>
      <c r="M834" s="143"/>
      <c r="N834" s="145"/>
      <c r="O834" s="146"/>
      <c r="P834" s="144"/>
      <c r="Q834" s="147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  <c r="AC834" s="148"/>
      <c r="AD834" s="149"/>
      <c r="AE834" s="150"/>
      <c r="AF834" s="151"/>
      <c r="AG834" s="152"/>
      <c r="AH834" s="149"/>
    </row>
    <row r="835" customFormat="false" ht="12" hidden="false" customHeight="false" outlineLevel="0" collapsed="false">
      <c r="A835" s="134"/>
      <c r="B835" s="135"/>
      <c r="C835" s="143"/>
      <c r="D835" s="143"/>
      <c r="E835" s="143"/>
      <c r="F835" s="143"/>
      <c r="G835" s="143"/>
      <c r="H835" s="143"/>
      <c r="I835" s="143"/>
      <c r="J835" s="143"/>
      <c r="K835" s="143"/>
      <c r="L835" s="144"/>
      <c r="M835" s="143"/>
      <c r="N835" s="145"/>
      <c r="O835" s="146"/>
      <c r="P835" s="144"/>
      <c r="Q835" s="147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  <c r="AC835" s="148"/>
      <c r="AD835" s="149"/>
      <c r="AE835" s="150"/>
      <c r="AF835" s="151"/>
      <c r="AG835" s="152"/>
      <c r="AH835" s="149"/>
    </row>
    <row r="836" customFormat="false" ht="12" hidden="false" customHeight="false" outlineLevel="0" collapsed="false">
      <c r="A836" s="134"/>
      <c r="B836" s="135"/>
      <c r="C836" s="143"/>
      <c r="D836" s="143"/>
      <c r="E836" s="143"/>
      <c r="F836" s="143"/>
      <c r="G836" s="143"/>
      <c r="H836" s="143"/>
      <c r="I836" s="143"/>
      <c r="J836" s="143"/>
      <c r="K836" s="143"/>
      <c r="L836" s="144"/>
      <c r="M836" s="143"/>
      <c r="N836" s="145"/>
      <c r="O836" s="146"/>
      <c r="P836" s="144"/>
      <c r="Q836" s="147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  <c r="AC836" s="148"/>
      <c r="AD836" s="149"/>
      <c r="AE836" s="150"/>
      <c r="AF836" s="151"/>
      <c r="AG836" s="152"/>
      <c r="AH836" s="149"/>
    </row>
    <row r="837" customFormat="false" ht="12" hidden="false" customHeight="false" outlineLevel="0" collapsed="false">
      <c r="A837" s="134"/>
      <c r="B837" s="135"/>
      <c r="C837" s="143"/>
      <c r="D837" s="143"/>
      <c r="E837" s="143"/>
      <c r="F837" s="143"/>
      <c r="G837" s="143"/>
      <c r="H837" s="143"/>
      <c r="I837" s="143"/>
      <c r="J837" s="143"/>
      <c r="K837" s="143"/>
      <c r="L837" s="144"/>
      <c r="M837" s="143"/>
      <c r="N837" s="145"/>
      <c r="O837" s="146"/>
      <c r="P837" s="144"/>
      <c r="Q837" s="147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  <c r="AC837" s="148"/>
      <c r="AD837" s="149"/>
      <c r="AE837" s="150"/>
      <c r="AF837" s="151"/>
      <c r="AG837" s="152"/>
      <c r="AH837" s="149"/>
    </row>
    <row r="838" customFormat="false" ht="12" hidden="false" customHeight="false" outlineLevel="0" collapsed="false">
      <c r="A838" s="134"/>
      <c r="B838" s="135"/>
      <c r="C838" s="143"/>
      <c r="D838" s="143"/>
      <c r="E838" s="143"/>
      <c r="F838" s="143"/>
      <c r="G838" s="143"/>
      <c r="H838" s="143"/>
      <c r="I838" s="143"/>
      <c r="J838" s="143"/>
      <c r="K838" s="143"/>
      <c r="L838" s="144"/>
      <c r="M838" s="143"/>
      <c r="N838" s="145"/>
      <c r="O838" s="146"/>
      <c r="P838" s="144"/>
      <c r="Q838" s="147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  <c r="AC838" s="148"/>
      <c r="AD838" s="149"/>
      <c r="AE838" s="150"/>
      <c r="AF838" s="151"/>
      <c r="AG838" s="152"/>
      <c r="AH838" s="149"/>
    </row>
    <row r="839" customFormat="false" ht="12" hidden="false" customHeight="false" outlineLevel="0" collapsed="false">
      <c r="A839" s="134"/>
      <c r="B839" s="135"/>
      <c r="C839" s="143"/>
      <c r="D839" s="143"/>
      <c r="E839" s="143"/>
      <c r="F839" s="143"/>
      <c r="G839" s="143"/>
      <c r="H839" s="143"/>
      <c r="I839" s="143"/>
      <c r="J839" s="143"/>
      <c r="K839" s="143"/>
      <c r="L839" s="144"/>
      <c r="M839" s="143"/>
      <c r="N839" s="145"/>
      <c r="O839" s="146"/>
      <c r="P839" s="144"/>
      <c r="Q839" s="147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  <c r="AC839" s="148"/>
      <c r="AD839" s="149"/>
      <c r="AE839" s="150"/>
      <c r="AF839" s="151"/>
      <c r="AG839" s="152"/>
      <c r="AH839" s="149"/>
    </row>
    <row r="840" customFormat="false" ht="12" hidden="false" customHeight="false" outlineLevel="0" collapsed="false">
      <c r="A840" s="134"/>
      <c r="B840" s="135"/>
      <c r="C840" s="143"/>
      <c r="D840" s="143"/>
      <c r="E840" s="143"/>
      <c r="F840" s="143"/>
      <c r="G840" s="143"/>
      <c r="H840" s="143"/>
      <c r="I840" s="143"/>
      <c r="J840" s="143"/>
      <c r="K840" s="143"/>
      <c r="L840" s="144"/>
      <c r="M840" s="143"/>
      <c r="N840" s="145"/>
      <c r="O840" s="146"/>
      <c r="P840" s="144"/>
      <c r="Q840" s="147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  <c r="AC840" s="148"/>
      <c r="AD840" s="149"/>
      <c r="AE840" s="150"/>
      <c r="AF840" s="151"/>
      <c r="AG840" s="152"/>
      <c r="AH840" s="149"/>
    </row>
    <row r="841" customFormat="false" ht="12" hidden="false" customHeight="false" outlineLevel="0" collapsed="false">
      <c r="A841" s="134"/>
      <c r="B841" s="135"/>
      <c r="C841" s="143"/>
      <c r="D841" s="143"/>
      <c r="E841" s="143"/>
      <c r="F841" s="143"/>
      <c r="G841" s="143"/>
      <c r="H841" s="143"/>
      <c r="I841" s="143"/>
      <c r="J841" s="143"/>
      <c r="K841" s="143"/>
      <c r="L841" s="144"/>
      <c r="M841" s="143"/>
      <c r="N841" s="145"/>
      <c r="O841" s="146"/>
      <c r="P841" s="144"/>
      <c r="Q841" s="147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  <c r="AC841" s="148"/>
      <c r="AD841" s="149"/>
      <c r="AE841" s="150"/>
      <c r="AF841" s="151"/>
      <c r="AG841" s="152"/>
      <c r="AH841" s="149"/>
    </row>
    <row r="842" customFormat="false" ht="12" hidden="false" customHeight="false" outlineLevel="0" collapsed="false">
      <c r="A842" s="134"/>
      <c r="B842" s="135"/>
      <c r="C842" s="143"/>
      <c r="D842" s="143"/>
      <c r="E842" s="143"/>
      <c r="F842" s="143"/>
      <c r="G842" s="143"/>
      <c r="H842" s="143"/>
      <c r="I842" s="143"/>
      <c r="J842" s="143"/>
      <c r="K842" s="143"/>
      <c r="L842" s="144"/>
      <c r="M842" s="143"/>
      <c r="N842" s="145"/>
      <c r="O842" s="146"/>
      <c r="P842" s="144"/>
      <c r="Q842" s="147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  <c r="AC842" s="148"/>
      <c r="AD842" s="149"/>
      <c r="AE842" s="150"/>
      <c r="AF842" s="151"/>
      <c r="AG842" s="152"/>
      <c r="AH842" s="149"/>
    </row>
    <row r="843" customFormat="false" ht="12" hidden="false" customHeight="false" outlineLevel="0" collapsed="false">
      <c r="A843" s="134"/>
      <c r="B843" s="135"/>
      <c r="C843" s="143"/>
      <c r="D843" s="143"/>
      <c r="E843" s="143"/>
      <c r="F843" s="143"/>
      <c r="G843" s="143"/>
      <c r="H843" s="143"/>
      <c r="I843" s="143"/>
      <c r="J843" s="143"/>
      <c r="K843" s="143"/>
      <c r="L843" s="144"/>
      <c r="M843" s="143"/>
      <c r="N843" s="145"/>
      <c r="O843" s="146"/>
      <c r="P843" s="144"/>
      <c r="Q843" s="147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  <c r="AC843" s="148"/>
      <c r="AD843" s="149"/>
      <c r="AE843" s="150"/>
      <c r="AF843" s="151"/>
      <c r="AG843" s="152"/>
      <c r="AH843" s="149"/>
    </row>
    <row r="844" customFormat="false" ht="12" hidden="false" customHeight="false" outlineLevel="0" collapsed="false">
      <c r="A844" s="134"/>
      <c r="B844" s="135"/>
      <c r="C844" s="143"/>
      <c r="D844" s="143"/>
      <c r="E844" s="143"/>
      <c r="F844" s="143"/>
      <c r="G844" s="143"/>
      <c r="H844" s="143"/>
      <c r="I844" s="143"/>
      <c r="J844" s="143"/>
      <c r="K844" s="143"/>
      <c r="L844" s="144"/>
      <c r="M844" s="143"/>
      <c r="N844" s="145"/>
      <c r="O844" s="146"/>
      <c r="P844" s="144"/>
      <c r="Q844" s="147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  <c r="AC844" s="148"/>
      <c r="AD844" s="149"/>
      <c r="AE844" s="150"/>
      <c r="AF844" s="151"/>
      <c r="AG844" s="152"/>
      <c r="AH844" s="149"/>
    </row>
    <row r="845" customFormat="false" ht="12" hidden="false" customHeight="false" outlineLevel="0" collapsed="false">
      <c r="A845" s="134"/>
      <c r="B845" s="135"/>
      <c r="C845" s="143"/>
      <c r="D845" s="143"/>
      <c r="E845" s="143"/>
      <c r="F845" s="143"/>
      <c r="G845" s="143"/>
      <c r="H845" s="143"/>
      <c r="I845" s="143"/>
      <c r="J845" s="143"/>
      <c r="K845" s="143"/>
      <c r="L845" s="144"/>
      <c r="M845" s="143"/>
      <c r="N845" s="145"/>
      <c r="O845" s="146"/>
      <c r="P845" s="144"/>
      <c r="Q845" s="147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  <c r="AC845" s="148"/>
      <c r="AD845" s="149"/>
      <c r="AE845" s="150"/>
      <c r="AF845" s="151"/>
      <c r="AG845" s="152"/>
      <c r="AH845" s="149"/>
    </row>
    <row r="846" customFormat="false" ht="12" hidden="false" customHeight="false" outlineLevel="0" collapsed="false">
      <c r="A846" s="134"/>
      <c r="B846" s="135"/>
      <c r="C846" s="143"/>
      <c r="D846" s="143"/>
      <c r="E846" s="143"/>
      <c r="F846" s="143"/>
      <c r="G846" s="143"/>
      <c r="H846" s="143"/>
      <c r="I846" s="143"/>
      <c r="J846" s="143"/>
      <c r="K846" s="143"/>
      <c r="L846" s="144"/>
      <c r="M846" s="143"/>
      <c r="N846" s="145"/>
      <c r="O846" s="146"/>
      <c r="P846" s="144"/>
      <c r="Q846" s="147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  <c r="AC846" s="148"/>
      <c r="AD846" s="149"/>
      <c r="AE846" s="150"/>
      <c r="AF846" s="151"/>
      <c r="AG846" s="152"/>
      <c r="AH846" s="149"/>
    </row>
    <row r="847" customFormat="false" ht="12" hidden="false" customHeight="false" outlineLevel="0" collapsed="false">
      <c r="A847" s="134"/>
      <c r="B847" s="135"/>
      <c r="C847" s="143"/>
      <c r="D847" s="143"/>
      <c r="E847" s="143"/>
      <c r="F847" s="143"/>
      <c r="G847" s="143"/>
      <c r="H847" s="143"/>
      <c r="I847" s="143"/>
      <c r="J847" s="143"/>
      <c r="K847" s="143"/>
      <c r="L847" s="144"/>
      <c r="M847" s="143"/>
      <c r="N847" s="145"/>
      <c r="O847" s="146"/>
      <c r="P847" s="144"/>
      <c r="Q847" s="147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  <c r="AC847" s="148"/>
      <c r="AD847" s="149"/>
      <c r="AE847" s="150"/>
      <c r="AF847" s="151"/>
      <c r="AG847" s="152"/>
      <c r="AH847" s="149"/>
    </row>
    <row r="848" customFormat="false" ht="12" hidden="false" customHeight="false" outlineLevel="0" collapsed="false">
      <c r="A848" s="134"/>
      <c r="B848" s="135"/>
      <c r="C848" s="143"/>
      <c r="D848" s="143"/>
      <c r="E848" s="143"/>
      <c r="F848" s="143"/>
      <c r="G848" s="143"/>
      <c r="H848" s="143"/>
      <c r="I848" s="143"/>
      <c r="J848" s="143"/>
      <c r="K848" s="143"/>
      <c r="L848" s="144"/>
      <c r="M848" s="143"/>
      <c r="N848" s="145"/>
      <c r="O848" s="146"/>
      <c r="P848" s="144"/>
      <c r="Q848" s="147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  <c r="AC848" s="148"/>
      <c r="AD848" s="149"/>
      <c r="AE848" s="150"/>
      <c r="AF848" s="151"/>
      <c r="AG848" s="152"/>
      <c r="AH848" s="149"/>
    </row>
    <row r="849" customFormat="false" ht="12" hidden="false" customHeight="false" outlineLevel="0" collapsed="false">
      <c r="A849" s="134"/>
      <c r="B849" s="135"/>
      <c r="C849" s="143"/>
      <c r="D849" s="143"/>
      <c r="E849" s="143"/>
      <c r="F849" s="143"/>
      <c r="G849" s="143"/>
      <c r="H849" s="143"/>
      <c r="I849" s="143"/>
      <c r="J849" s="143"/>
      <c r="K849" s="143"/>
      <c r="L849" s="144"/>
      <c r="M849" s="143"/>
      <c r="N849" s="145"/>
      <c r="O849" s="146"/>
      <c r="P849" s="144"/>
      <c r="Q849" s="147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  <c r="AC849" s="148"/>
      <c r="AD849" s="149"/>
      <c r="AE849" s="150"/>
      <c r="AF849" s="151"/>
      <c r="AG849" s="152"/>
      <c r="AH849" s="149"/>
    </row>
    <row r="850" customFormat="false" ht="12" hidden="false" customHeight="false" outlineLevel="0" collapsed="false">
      <c r="A850" s="134"/>
      <c r="B850" s="135"/>
      <c r="C850" s="143"/>
      <c r="D850" s="143"/>
      <c r="E850" s="143"/>
      <c r="F850" s="143"/>
      <c r="G850" s="143"/>
      <c r="H850" s="143"/>
      <c r="I850" s="143"/>
      <c r="J850" s="143"/>
      <c r="K850" s="143"/>
      <c r="L850" s="144"/>
      <c r="M850" s="143"/>
      <c r="N850" s="145"/>
      <c r="O850" s="146"/>
      <c r="P850" s="144"/>
      <c r="Q850" s="147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  <c r="AC850" s="148"/>
      <c r="AD850" s="149"/>
      <c r="AE850" s="150"/>
      <c r="AF850" s="151"/>
      <c r="AG850" s="152"/>
      <c r="AH850" s="149"/>
    </row>
    <row r="851" customFormat="false" ht="12" hidden="false" customHeight="false" outlineLevel="0" collapsed="false">
      <c r="A851" s="134"/>
      <c r="B851" s="135"/>
      <c r="C851" s="143"/>
      <c r="D851" s="143"/>
      <c r="E851" s="143"/>
      <c r="F851" s="143"/>
      <c r="G851" s="143"/>
      <c r="H851" s="143"/>
      <c r="I851" s="143"/>
      <c r="J851" s="143"/>
      <c r="K851" s="143"/>
      <c r="L851" s="144"/>
      <c r="M851" s="143"/>
      <c r="N851" s="145"/>
      <c r="O851" s="146"/>
      <c r="P851" s="144"/>
      <c r="Q851" s="147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  <c r="AC851" s="148"/>
      <c r="AD851" s="149"/>
      <c r="AE851" s="150"/>
      <c r="AF851" s="151"/>
      <c r="AG851" s="152"/>
      <c r="AH851" s="149"/>
    </row>
    <row r="852" customFormat="false" ht="12" hidden="false" customHeight="false" outlineLevel="0" collapsed="false">
      <c r="A852" s="134"/>
      <c r="B852" s="135"/>
      <c r="C852" s="143"/>
      <c r="D852" s="143"/>
      <c r="E852" s="143"/>
      <c r="F852" s="143"/>
      <c r="G852" s="143"/>
      <c r="H852" s="143"/>
      <c r="I852" s="143"/>
      <c r="J852" s="143"/>
      <c r="K852" s="143"/>
      <c r="L852" s="144"/>
      <c r="M852" s="143"/>
      <c r="N852" s="145"/>
      <c r="O852" s="146"/>
      <c r="P852" s="144"/>
      <c r="Q852" s="147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  <c r="AC852" s="148"/>
      <c r="AD852" s="149"/>
      <c r="AE852" s="150"/>
      <c r="AF852" s="151"/>
      <c r="AG852" s="152"/>
      <c r="AH852" s="149"/>
    </row>
    <row r="853" customFormat="false" ht="12" hidden="false" customHeight="false" outlineLevel="0" collapsed="false">
      <c r="A853" s="134"/>
      <c r="B853" s="135"/>
      <c r="C853" s="143"/>
      <c r="D853" s="143"/>
      <c r="E853" s="143"/>
      <c r="F853" s="143"/>
      <c r="G853" s="143"/>
      <c r="H853" s="143"/>
      <c r="I853" s="143"/>
      <c r="J853" s="143"/>
      <c r="K853" s="143"/>
      <c r="L853" s="144"/>
      <c r="M853" s="143"/>
      <c r="N853" s="145"/>
      <c r="O853" s="146"/>
      <c r="P853" s="144"/>
      <c r="Q853" s="147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  <c r="AC853" s="148"/>
      <c r="AD853" s="149"/>
      <c r="AE853" s="150"/>
      <c r="AF853" s="151"/>
      <c r="AG853" s="152"/>
      <c r="AH853" s="149"/>
    </row>
    <row r="854" customFormat="false" ht="12" hidden="false" customHeight="false" outlineLevel="0" collapsed="false">
      <c r="A854" s="134"/>
      <c r="B854" s="135"/>
      <c r="C854" s="143"/>
      <c r="D854" s="143"/>
      <c r="E854" s="143"/>
      <c r="F854" s="143"/>
      <c r="G854" s="143"/>
      <c r="H854" s="143"/>
      <c r="I854" s="143"/>
      <c r="J854" s="143"/>
      <c r="K854" s="143"/>
      <c r="L854" s="144"/>
      <c r="M854" s="143"/>
      <c r="N854" s="145"/>
      <c r="O854" s="146"/>
      <c r="P854" s="144"/>
      <c r="Q854" s="147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  <c r="AC854" s="148"/>
      <c r="AD854" s="149"/>
      <c r="AE854" s="150"/>
      <c r="AF854" s="151"/>
      <c r="AG854" s="152"/>
      <c r="AH854" s="149"/>
    </row>
    <row r="855" customFormat="false" ht="12" hidden="false" customHeight="false" outlineLevel="0" collapsed="false">
      <c r="A855" s="134"/>
      <c r="B855" s="135"/>
      <c r="C855" s="143"/>
      <c r="D855" s="143"/>
      <c r="E855" s="143"/>
      <c r="F855" s="143"/>
      <c r="G855" s="143"/>
      <c r="H855" s="143"/>
      <c r="I855" s="143"/>
      <c r="J855" s="143"/>
      <c r="K855" s="143"/>
      <c r="L855" s="144"/>
      <c r="M855" s="143"/>
      <c r="N855" s="145"/>
      <c r="O855" s="146"/>
      <c r="P855" s="144"/>
      <c r="Q855" s="147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  <c r="AC855" s="148"/>
      <c r="AD855" s="149"/>
      <c r="AE855" s="150"/>
      <c r="AF855" s="151"/>
      <c r="AG855" s="152"/>
      <c r="AH855" s="149"/>
    </row>
    <row r="856" customFormat="false" ht="12" hidden="false" customHeight="false" outlineLevel="0" collapsed="false">
      <c r="A856" s="134"/>
      <c r="B856" s="135"/>
      <c r="C856" s="143"/>
      <c r="D856" s="143"/>
      <c r="E856" s="143"/>
      <c r="F856" s="143"/>
      <c r="G856" s="143"/>
      <c r="H856" s="143"/>
      <c r="I856" s="143"/>
      <c r="J856" s="143"/>
      <c r="K856" s="143"/>
      <c r="L856" s="144"/>
      <c r="M856" s="143"/>
      <c r="N856" s="145"/>
      <c r="O856" s="146"/>
      <c r="P856" s="144"/>
      <c r="Q856" s="147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  <c r="AC856" s="148"/>
      <c r="AD856" s="149"/>
      <c r="AE856" s="150"/>
      <c r="AF856" s="151"/>
      <c r="AG856" s="152"/>
      <c r="AH856" s="149"/>
    </row>
    <row r="857" customFormat="false" ht="12" hidden="false" customHeight="false" outlineLevel="0" collapsed="false">
      <c r="A857" s="134"/>
      <c r="B857" s="135"/>
      <c r="C857" s="143"/>
      <c r="D857" s="143"/>
      <c r="E857" s="143"/>
      <c r="F857" s="143"/>
      <c r="G857" s="143"/>
      <c r="H857" s="143"/>
      <c r="I857" s="143"/>
      <c r="J857" s="143"/>
      <c r="K857" s="143"/>
      <c r="L857" s="144"/>
      <c r="M857" s="143"/>
      <c r="N857" s="145"/>
      <c r="O857" s="146"/>
      <c r="P857" s="144"/>
      <c r="Q857" s="147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  <c r="AC857" s="148"/>
      <c r="AD857" s="149"/>
      <c r="AE857" s="150"/>
      <c r="AF857" s="151"/>
      <c r="AG857" s="152"/>
      <c r="AH857" s="149"/>
    </row>
    <row r="858" customFormat="false" ht="12" hidden="false" customHeight="false" outlineLevel="0" collapsed="false">
      <c r="A858" s="134"/>
      <c r="B858" s="135"/>
      <c r="C858" s="143"/>
      <c r="D858" s="143"/>
      <c r="E858" s="143"/>
      <c r="F858" s="143"/>
      <c r="G858" s="143"/>
      <c r="H858" s="143"/>
      <c r="I858" s="143"/>
      <c r="J858" s="143"/>
      <c r="K858" s="143"/>
      <c r="L858" s="144"/>
      <c r="M858" s="143"/>
      <c r="N858" s="145"/>
      <c r="O858" s="146"/>
      <c r="P858" s="144"/>
      <c r="Q858" s="147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  <c r="AC858" s="148"/>
      <c r="AD858" s="149"/>
      <c r="AE858" s="150"/>
      <c r="AF858" s="151"/>
      <c r="AG858" s="152"/>
      <c r="AH858" s="149"/>
    </row>
    <row r="859" customFormat="false" ht="12" hidden="false" customHeight="false" outlineLevel="0" collapsed="false">
      <c r="A859" s="134"/>
      <c r="B859" s="135"/>
      <c r="C859" s="143"/>
      <c r="D859" s="143"/>
      <c r="E859" s="143"/>
      <c r="F859" s="143"/>
      <c r="G859" s="143"/>
      <c r="H859" s="143"/>
      <c r="I859" s="143"/>
      <c r="J859" s="143"/>
      <c r="K859" s="143"/>
      <c r="L859" s="144"/>
      <c r="M859" s="143"/>
      <c r="N859" s="145"/>
      <c r="O859" s="146"/>
      <c r="P859" s="144"/>
      <c r="Q859" s="147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  <c r="AC859" s="148"/>
      <c r="AD859" s="149"/>
      <c r="AE859" s="150"/>
      <c r="AF859" s="151"/>
      <c r="AG859" s="152"/>
      <c r="AH859" s="149"/>
    </row>
    <row r="860" customFormat="false" ht="12" hidden="false" customHeight="false" outlineLevel="0" collapsed="false">
      <c r="A860" s="134"/>
      <c r="B860" s="135"/>
      <c r="C860" s="143"/>
      <c r="D860" s="143"/>
      <c r="E860" s="143"/>
      <c r="F860" s="143"/>
      <c r="G860" s="143"/>
      <c r="H860" s="143"/>
      <c r="I860" s="143"/>
      <c r="J860" s="143"/>
      <c r="K860" s="143"/>
      <c r="L860" s="144"/>
      <c r="M860" s="143"/>
      <c r="N860" s="145"/>
      <c r="O860" s="146"/>
      <c r="P860" s="144"/>
      <c r="Q860" s="147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  <c r="AC860" s="148"/>
      <c r="AD860" s="149"/>
      <c r="AE860" s="150"/>
      <c r="AF860" s="151"/>
      <c r="AG860" s="152"/>
      <c r="AH860" s="149"/>
    </row>
    <row r="861" customFormat="false" ht="12" hidden="false" customHeight="false" outlineLevel="0" collapsed="false">
      <c r="A861" s="134"/>
      <c r="B861" s="135"/>
      <c r="C861" s="143"/>
      <c r="D861" s="143"/>
      <c r="E861" s="143"/>
      <c r="F861" s="143"/>
      <c r="G861" s="143"/>
      <c r="H861" s="143"/>
      <c r="I861" s="143"/>
      <c r="J861" s="143"/>
      <c r="K861" s="143"/>
      <c r="L861" s="144"/>
      <c r="M861" s="143"/>
      <c r="N861" s="145"/>
      <c r="O861" s="146"/>
      <c r="P861" s="144"/>
      <c r="Q861" s="147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  <c r="AC861" s="148"/>
      <c r="AD861" s="149"/>
      <c r="AE861" s="150"/>
      <c r="AF861" s="151"/>
      <c r="AG861" s="152"/>
      <c r="AH861" s="149"/>
    </row>
    <row r="862" customFormat="false" ht="12" hidden="false" customHeight="false" outlineLevel="0" collapsed="false">
      <c r="A862" s="134"/>
      <c r="B862" s="135"/>
      <c r="C862" s="143"/>
      <c r="D862" s="143"/>
      <c r="E862" s="143"/>
      <c r="F862" s="143"/>
      <c r="G862" s="143"/>
      <c r="H862" s="143"/>
      <c r="I862" s="143"/>
      <c r="J862" s="143"/>
      <c r="K862" s="143"/>
      <c r="L862" s="144"/>
      <c r="M862" s="143"/>
      <c r="N862" s="145"/>
      <c r="O862" s="146"/>
      <c r="P862" s="144"/>
      <c r="Q862" s="147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  <c r="AC862" s="148"/>
      <c r="AD862" s="149"/>
      <c r="AE862" s="150"/>
      <c r="AF862" s="151"/>
      <c r="AG862" s="152"/>
      <c r="AH862" s="149"/>
    </row>
    <row r="863" customFormat="false" ht="12" hidden="false" customHeight="false" outlineLevel="0" collapsed="false">
      <c r="A863" s="134"/>
      <c r="B863" s="135"/>
      <c r="C863" s="143"/>
      <c r="D863" s="143"/>
      <c r="E863" s="143"/>
      <c r="F863" s="143"/>
      <c r="G863" s="143"/>
      <c r="H863" s="143"/>
      <c r="I863" s="143"/>
      <c r="J863" s="143"/>
      <c r="K863" s="143"/>
      <c r="L863" s="144"/>
      <c r="M863" s="143"/>
      <c r="N863" s="145"/>
      <c r="O863" s="146"/>
      <c r="P863" s="144"/>
      <c r="Q863" s="147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  <c r="AC863" s="148"/>
      <c r="AD863" s="149"/>
      <c r="AE863" s="150"/>
      <c r="AF863" s="151"/>
      <c r="AG863" s="152"/>
      <c r="AH863" s="149"/>
    </row>
    <row r="864" customFormat="false" ht="12" hidden="false" customHeight="false" outlineLevel="0" collapsed="false">
      <c r="A864" s="134"/>
      <c r="B864" s="135"/>
      <c r="C864" s="143"/>
      <c r="D864" s="143"/>
      <c r="E864" s="143"/>
      <c r="F864" s="143"/>
      <c r="G864" s="143"/>
      <c r="H864" s="143"/>
      <c r="I864" s="143"/>
      <c r="J864" s="143"/>
      <c r="K864" s="143"/>
      <c r="L864" s="144"/>
      <c r="M864" s="143"/>
      <c r="N864" s="145"/>
      <c r="O864" s="146"/>
      <c r="P864" s="144"/>
      <c r="Q864" s="147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  <c r="AC864" s="148"/>
      <c r="AD864" s="149"/>
      <c r="AE864" s="150"/>
      <c r="AF864" s="151"/>
      <c r="AG864" s="152"/>
      <c r="AH864" s="149"/>
    </row>
    <row r="865" customFormat="false" ht="12" hidden="false" customHeight="false" outlineLevel="0" collapsed="false">
      <c r="A865" s="134"/>
      <c r="B865" s="135"/>
      <c r="C865" s="143"/>
      <c r="D865" s="143"/>
      <c r="E865" s="143"/>
      <c r="F865" s="143"/>
      <c r="G865" s="143"/>
      <c r="H865" s="143"/>
      <c r="I865" s="143"/>
      <c r="J865" s="143"/>
      <c r="K865" s="143"/>
      <c r="L865" s="144"/>
      <c r="M865" s="143"/>
      <c r="N865" s="145"/>
      <c r="O865" s="146"/>
      <c r="P865" s="144"/>
      <c r="Q865" s="147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  <c r="AC865" s="148"/>
      <c r="AD865" s="149"/>
      <c r="AE865" s="150"/>
      <c r="AF865" s="151"/>
      <c r="AG865" s="152"/>
      <c r="AH865" s="149"/>
    </row>
    <row r="866" customFormat="false" ht="12" hidden="false" customHeight="false" outlineLevel="0" collapsed="false">
      <c r="A866" s="134"/>
      <c r="B866" s="135"/>
      <c r="C866" s="143"/>
      <c r="D866" s="143"/>
      <c r="E866" s="143"/>
      <c r="F866" s="143"/>
      <c r="G866" s="143"/>
      <c r="H866" s="143"/>
      <c r="I866" s="143"/>
      <c r="J866" s="143"/>
      <c r="K866" s="143"/>
      <c r="L866" s="144"/>
      <c r="M866" s="143"/>
      <c r="N866" s="145"/>
      <c r="O866" s="146"/>
      <c r="P866" s="144"/>
      <c r="Q866" s="147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  <c r="AC866" s="148"/>
      <c r="AD866" s="149"/>
      <c r="AE866" s="150"/>
      <c r="AF866" s="151"/>
      <c r="AG866" s="152"/>
      <c r="AH866" s="149"/>
    </row>
    <row r="867" customFormat="false" ht="12" hidden="false" customHeight="false" outlineLevel="0" collapsed="false">
      <c r="A867" s="134"/>
      <c r="B867" s="135"/>
      <c r="C867" s="143"/>
      <c r="D867" s="143"/>
      <c r="E867" s="143"/>
      <c r="F867" s="143"/>
      <c r="G867" s="143"/>
      <c r="H867" s="143"/>
      <c r="I867" s="143"/>
      <c r="J867" s="143"/>
      <c r="K867" s="143"/>
      <c r="L867" s="144"/>
      <c r="M867" s="143"/>
      <c r="N867" s="145"/>
      <c r="O867" s="146"/>
      <c r="P867" s="144"/>
      <c r="Q867" s="147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  <c r="AC867" s="148"/>
      <c r="AD867" s="149"/>
      <c r="AE867" s="150"/>
      <c r="AF867" s="151"/>
      <c r="AG867" s="152"/>
      <c r="AH867" s="149"/>
    </row>
    <row r="868" customFormat="false" ht="12" hidden="false" customHeight="false" outlineLevel="0" collapsed="false">
      <c r="A868" s="134"/>
      <c r="B868" s="135"/>
      <c r="C868" s="143"/>
      <c r="D868" s="143"/>
      <c r="E868" s="143"/>
      <c r="F868" s="143"/>
      <c r="G868" s="143"/>
      <c r="H868" s="143"/>
      <c r="I868" s="143"/>
      <c r="J868" s="143"/>
      <c r="K868" s="143"/>
      <c r="L868" s="144"/>
      <c r="M868" s="143"/>
      <c r="N868" s="145"/>
      <c r="O868" s="146"/>
      <c r="P868" s="144"/>
      <c r="Q868" s="147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  <c r="AC868" s="148"/>
      <c r="AD868" s="149"/>
      <c r="AE868" s="150"/>
      <c r="AF868" s="151"/>
      <c r="AG868" s="152"/>
      <c r="AH868" s="149"/>
    </row>
    <row r="869" customFormat="false" ht="12" hidden="false" customHeight="false" outlineLevel="0" collapsed="false">
      <c r="A869" s="134"/>
      <c r="B869" s="135"/>
      <c r="C869" s="143"/>
      <c r="D869" s="143"/>
      <c r="E869" s="143"/>
      <c r="F869" s="143"/>
      <c r="G869" s="143"/>
      <c r="H869" s="143"/>
      <c r="I869" s="143"/>
      <c r="J869" s="143"/>
      <c r="K869" s="143"/>
      <c r="L869" s="144"/>
      <c r="M869" s="143"/>
      <c r="N869" s="145"/>
      <c r="O869" s="146"/>
      <c r="P869" s="144"/>
      <c r="Q869" s="147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  <c r="AC869" s="148"/>
      <c r="AD869" s="149"/>
      <c r="AE869" s="150"/>
      <c r="AF869" s="151"/>
      <c r="AG869" s="152"/>
      <c r="AH869" s="149"/>
    </row>
    <row r="870" customFormat="false" ht="12" hidden="false" customHeight="false" outlineLevel="0" collapsed="false">
      <c r="A870" s="134"/>
      <c r="B870" s="135"/>
      <c r="C870" s="143"/>
      <c r="D870" s="143"/>
      <c r="E870" s="143"/>
      <c r="F870" s="143"/>
      <c r="G870" s="143"/>
      <c r="H870" s="143"/>
      <c r="I870" s="143"/>
      <c r="J870" s="143"/>
      <c r="K870" s="143"/>
      <c r="L870" s="144"/>
      <c r="M870" s="143"/>
      <c r="N870" s="145"/>
      <c r="O870" s="146"/>
      <c r="P870" s="144"/>
      <c r="Q870" s="147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  <c r="AC870" s="148"/>
      <c r="AD870" s="149"/>
      <c r="AE870" s="150"/>
      <c r="AF870" s="151"/>
      <c r="AG870" s="152"/>
      <c r="AH870" s="149"/>
    </row>
    <row r="871" customFormat="false" ht="12" hidden="false" customHeight="false" outlineLevel="0" collapsed="false">
      <c r="A871" s="134"/>
      <c r="B871" s="135"/>
      <c r="C871" s="143"/>
      <c r="D871" s="143"/>
      <c r="E871" s="143"/>
      <c r="F871" s="143"/>
      <c r="G871" s="143"/>
      <c r="H871" s="143"/>
      <c r="I871" s="143"/>
      <c r="J871" s="143"/>
      <c r="K871" s="143"/>
      <c r="L871" s="144"/>
      <c r="M871" s="143"/>
      <c r="N871" s="145"/>
      <c r="O871" s="146"/>
      <c r="P871" s="144"/>
      <c r="Q871" s="147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  <c r="AC871" s="148"/>
      <c r="AD871" s="149"/>
      <c r="AE871" s="150"/>
      <c r="AF871" s="151"/>
      <c r="AG871" s="152"/>
      <c r="AH871" s="149"/>
    </row>
    <row r="872" customFormat="false" ht="12" hidden="false" customHeight="false" outlineLevel="0" collapsed="false">
      <c r="A872" s="134"/>
      <c r="B872" s="135"/>
      <c r="C872" s="143"/>
      <c r="D872" s="143"/>
      <c r="E872" s="143"/>
      <c r="F872" s="143"/>
      <c r="G872" s="143"/>
      <c r="H872" s="143"/>
      <c r="I872" s="143"/>
      <c r="J872" s="143"/>
      <c r="K872" s="143"/>
      <c r="L872" s="144"/>
      <c r="M872" s="143"/>
      <c r="N872" s="145"/>
      <c r="O872" s="146"/>
      <c r="P872" s="144"/>
      <c r="Q872" s="147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  <c r="AC872" s="148"/>
      <c r="AD872" s="149"/>
      <c r="AE872" s="150"/>
      <c r="AF872" s="151"/>
      <c r="AG872" s="152"/>
      <c r="AH872" s="149"/>
    </row>
    <row r="873" customFormat="false" ht="12" hidden="false" customHeight="false" outlineLevel="0" collapsed="false">
      <c r="A873" s="134"/>
      <c r="B873" s="135"/>
      <c r="C873" s="143"/>
      <c r="D873" s="143"/>
      <c r="E873" s="143"/>
      <c r="F873" s="143"/>
      <c r="G873" s="143"/>
      <c r="H873" s="143"/>
      <c r="I873" s="143"/>
      <c r="J873" s="143"/>
      <c r="K873" s="143"/>
      <c r="L873" s="144"/>
      <c r="M873" s="143"/>
      <c r="N873" s="145"/>
      <c r="O873" s="146"/>
      <c r="P873" s="144"/>
      <c r="Q873" s="147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  <c r="AC873" s="148"/>
      <c r="AD873" s="149"/>
      <c r="AE873" s="150"/>
      <c r="AF873" s="151"/>
      <c r="AG873" s="152"/>
      <c r="AH873" s="149"/>
    </row>
    <row r="874" customFormat="false" ht="12" hidden="false" customHeight="false" outlineLevel="0" collapsed="false">
      <c r="A874" s="134"/>
      <c r="B874" s="135"/>
      <c r="C874" s="143"/>
      <c r="D874" s="143"/>
      <c r="E874" s="143"/>
      <c r="F874" s="143"/>
      <c r="G874" s="143"/>
      <c r="H874" s="143"/>
      <c r="I874" s="143"/>
      <c r="J874" s="143"/>
      <c r="K874" s="143"/>
      <c r="L874" s="144"/>
      <c r="M874" s="143"/>
      <c r="N874" s="145"/>
      <c r="O874" s="146"/>
      <c r="P874" s="144"/>
      <c r="Q874" s="147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  <c r="AC874" s="148"/>
      <c r="AD874" s="149"/>
      <c r="AE874" s="150"/>
      <c r="AF874" s="151"/>
      <c r="AG874" s="152"/>
      <c r="AH874" s="149"/>
    </row>
    <row r="875" customFormat="false" ht="12" hidden="false" customHeight="false" outlineLevel="0" collapsed="false">
      <c r="A875" s="134"/>
      <c r="B875" s="135"/>
      <c r="C875" s="143"/>
      <c r="D875" s="143"/>
      <c r="E875" s="143"/>
      <c r="F875" s="143"/>
      <c r="G875" s="143"/>
      <c r="H875" s="143"/>
      <c r="I875" s="143"/>
      <c r="J875" s="143"/>
      <c r="K875" s="143"/>
      <c r="L875" s="144"/>
      <c r="M875" s="143"/>
      <c r="N875" s="145"/>
      <c r="O875" s="146"/>
      <c r="P875" s="144"/>
      <c r="Q875" s="147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  <c r="AC875" s="148"/>
      <c r="AD875" s="149"/>
      <c r="AE875" s="150"/>
      <c r="AF875" s="151"/>
      <c r="AG875" s="152"/>
      <c r="AH875" s="149"/>
    </row>
    <row r="876" customFormat="false" ht="12" hidden="false" customHeight="false" outlineLevel="0" collapsed="false">
      <c r="A876" s="134"/>
      <c r="B876" s="135"/>
      <c r="C876" s="143"/>
      <c r="D876" s="143"/>
      <c r="E876" s="143"/>
      <c r="F876" s="143"/>
      <c r="G876" s="143"/>
      <c r="H876" s="143"/>
      <c r="I876" s="143"/>
      <c r="J876" s="143"/>
      <c r="K876" s="143"/>
      <c r="L876" s="144"/>
      <c r="M876" s="143"/>
      <c r="N876" s="145"/>
      <c r="O876" s="146"/>
      <c r="P876" s="144"/>
      <c r="Q876" s="147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  <c r="AC876" s="148"/>
      <c r="AD876" s="149"/>
      <c r="AE876" s="150"/>
      <c r="AF876" s="151"/>
      <c r="AG876" s="152"/>
      <c r="AH876" s="149"/>
    </row>
    <row r="877" customFormat="false" ht="12" hidden="false" customHeight="false" outlineLevel="0" collapsed="false">
      <c r="A877" s="134"/>
      <c r="B877" s="135"/>
      <c r="C877" s="143"/>
      <c r="D877" s="143"/>
      <c r="E877" s="143"/>
      <c r="F877" s="143"/>
      <c r="G877" s="143"/>
      <c r="H877" s="143"/>
      <c r="I877" s="143"/>
      <c r="J877" s="143"/>
      <c r="K877" s="143"/>
      <c r="L877" s="144"/>
      <c r="M877" s="143"/>
      <c r="N877" s="145"/>
      <c r="O877" s="146"/>
      <c r="P877" s="144"/>
      <c r="Q877" s="147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  <c r="AC877" s="148"/>
      <c r="AD877" s="149"/>
      <c r="AE877" s="150"/>
      <c r="AF877" s="151"/>
      <c r="AG877" s="152"/>
      <c r="AH877" s="149"/>
    </row>
    <row r="878" customFormat="false" ht="12" hidden="false" customHeight="false" outlineLevel="0" collapsed="false">
      <c r="A878" s="134"/>
      <c r="B878" s="135"/>
      <c r="C878" s="143"/>
      <c r="D878" s="143"/>
      <c r="E878" s="143"/>
      <c r="F878" s="143"/>
      <c r="G878" s="143"/>
      <c r="H878" s="143"/>
      <c r="I878" s="143"/>
      <c r="J878" s="143"/>
      <c r="K878" s="143"/>
      <c r="L878" s="144"/>
      <c r="M878" s="143"/>
      <c r="N878" s="145"/>
      <c r="O878" s="146"/>
      <c r="P878" s="144"/>
      <c r="Q878" s="147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  <c r="AC878" s="148"/>
      <c r="AD878" s="149"/>
      <c r="AE878" s="150"/>
      <c r="AF878" s="151"/>
      <c r="AG878" s="152"/>
      <c r="AH878" s="149"/>
    </row>
    <row r="879" customFormat="false" ht="12" hidden="false" customHeight="false" outlineLevel="0" collapsed="false">
      <c r="A879" s="134"/>
      <c r="B879" s="135"/>
      <c r="C879" s="143"/>
      <c r="D879" s="143"/>
      <c r="E879" s="143"/>
      <c r="F879" s="143"/>
      <c r="G879" s="143"/>
      <c r="H879" s="143"/>
      <c r="I879" s="143"/>
      <c r="J879" s="143"/>
      <c r="K879" s="143"/>
      <c r="L879" s="144"/>
      <c r="M879" s="143"/>
      <c r="N879" s="145"/>
      <c r="O879" s="146"/>
      <c r="P879" s="144"/>
      <c r="Q879" s="147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  <c r="AC879" s="148"/>
      <c r="AD879" s="149"/>
      <c r="AE879" s="150"/>
      <c r="AF879" s="151"/>
      <c r="AG879" s="152"/>
      <c r="AH879" s="149"/>
    </row>
    <row r="880" customFormat="false" ht="12" hidden="false" customHeight="false" outlineLevel="0" collapsed="false">
      <c r="A880" s="134"/>
      <c r="B880" s="135"/>
      <c r="C880" s="143"/>
      <c r="D880" s="143"/>
      <c r="E880" s="143"/>
      <c r="F880" s="143"/>
      <c r="G880" s="143"/>
      <c r="H880" s="143"/>
      <c r="I880" s="143"/>
      <c r="J880" s="143"/>
      <c r="K880" s="143"/>
      <c r="L880" s="144"/>
      <c r="M880" s="143"/>
      <c r="N880" s="145"/>
      <c r="O880" s="146"/>
      <c r="P880" s="144"/>
      <c r="Q880" s="147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  <c r="AC880" s="148"/>
      <c r="AD880" s="149"/>
      <c r="AE880" s="150"/>
      <c r="AF880" s="151"/>
      <c r="AG880" s="152"/>
      <c r="AH880" s="149"/>
    </row>
    <row r="881" customFormat="false" ht="12" hidden="false" customHeight="false" outlineLevel="0" collapsed="false">
      <c r="A881" s="134"/>
      <c r="B881" s="135"/>
      <c r="C881" s="143"/>
      <c r="D881" s="143"/>
      <c r="E881" s="143"/>
      <c r="F881" s="143"/>
      <c r="G881" s="143"/>
      <c r="H881" s="143"/>
      <c r="I881" s="143"/>
      <c r="J881" s="143"/>
      <c r="K881" s="143"/>
      <c r="L881" s="144"/>
      <c r="M881" s="143"/>
      <c r="N881" s="145"/>
      <c r="O881" s="146"/>
      <c r="P881" s="144"/>
      <c r="Q881" s="147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  <c r="AC881" s="148"/>
      <c r="AD881" s="149"/>
      <c r="AE881" s="150"/>
      <c r="AF881" s="151"/>
      <c r="AG881" s="152"/>
      <c r="AH881" s="149"/>
    </row>
    <row r="882" customFormat="false" ht="12" hidden="false" customHeight="false" outlineLevel="0" collapsed="false">
      <c r="A882" s="134"/>
      <c r="B882" s="135"/>
      <c r="C882" s="143"/>
      <c r="D882" s="143"/>
      <c r="E882" s="143"/>
      <c r="F882" s="143"/>
      <c r="G882" s="143"/>
      <c r="H882" s="143"/>
      <c r="I882" s="143"/>
      <c r="J882" s="143"/>
      <c r="K882" s="143"/>
      <c r="L882" s="144"/>
      <c r="M882" s="143"/>
      <c r="N882" s="145"/>
      <c r="O882" s="146"/>
      <c r="P882" s="144"/>
      <c r="Q882" s="147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  <c r="AC882" s="148"/>
      <c r="AD882" s="149"/>
      <c r="AE882" s="150"/>
      <c r="AF882" s="151"/>
      <c r="AG882" s="152"/>
      <c r="AH882" s="149"/>
    </row>
    <row r="883" customFormat="false" ht="12" hidden="false" customHeight="false" outlineLevel="0" collapsed="false">
      <c r="A883" s="134"/>
      <c r="B883" s="135"/>
      <c r="C883" s="143"/>
      <c r="D883" s="143"/>
      <c r="E883" s="143"/>
      <c r="F883" s="143"/>
      <c r="G883" s="143"/>
      <c r="H883" s="143"/>
      <c r="I883" s="143"/>
      <c r="J883" s="143"/>
      <c r="K883" s="143"/>
      <c r="L883" s="144"/>
      <c r="M883" s="143"/>
      <c r="N883" s="145"/>
      <c r="O883" s="146"/>
      <c r="P883" s="144"/>
      <c r="Q883" s="147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  <c r="AC883" s="148"/>
      <c r="AD883" s="149"/>
      <c r="AE883" s="150"/>
      <c r="AF883" s="151"/>
      <c r="AG883" s="152"/>
      <c r="AH883" s="149"/>
    </row>
    <row r="884" customFormat="false" ht="12" hidden="false" customHeight="false" outlineLevel="0" collapsed="false">
      <c r="A884" s="134"/>
      <c r="B884" s="135"/>
      <c r="C884" s="143"/>
      <c r="D884" s="143"/>
      <c r="E884" s="143"/>
      <c r="F884" s="143"/>
      <c r="G884" s="143"/>
      <c r="H884" s="143"/>
      <c r="I884" s="143"/>
      <c r="J884" s="143"/>
      <c r="K884" s="143"/>
      <c r="L884" s="144"/>
      <c r="M884" s="143"/>
      <c r="N884" s="145"/>
      <c r="O884" s="146"/>
      <c r="P884" s="144"/>
      <c r="Q884" s="147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  <c r="AC884" s="148"/>
      <c r="AD884" s="149"/>
      <c r="AE884" s="150"/>
      <c r="AF884" s="151"/>
      <c r="AG884" s="152"/>
      <c r="AH884" s="149"/>
    </row>
    <row r="885" customFormat="false" ht="12" hidden="false" customHeight="false" outlineLevel="0" collapsed="false">
      <c r="A885" s="134"/>
      <c r="B885" s="135"/>
      <c r="C885" s="143"/>
      <c r="D885" s="143"/>
      <c r="E885" s="143"/>
      <c r="F885" s="143"/>
      <c r="G885" s="143"/>
      <c r="H885" s="143"/>
      <c r="I885" s="143"/>
      <c r="J885" s="143"/>
      <c r="K885" s="143"/>
      <c r="L885" s="144"/>
      <c r="M885" s="143"/>
      <c r="N885" s="145"/>
      <c r="O885" s="146"/>
      <c r="P885" s="144"/>
      <c r="Q885" s="147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  <c r="AC885" s="148"/>
      <c r="AD885" s="149"/>
      <c r="AE885" s="150"/>
      <c r="AF885" s="151"/>
      <c r="AG885" s="152"/>
      <c r="AH885" s="149"/>
    </row>
    <row r="886" customFormat="false" ht="12" hidden="false" customHeight="false" outlineLevel="0" collapsed="false">
      <c r="A886" s="134"/>
      <c r="B886" s="135"/>
      <c r="C886" s="143"/>
      <c r="D886" s="143"/>
      <c r="E886" s="143"/>
      <c r="F886" s="143"/>
      <c r="G886" s="143"/>
      <c r="H886" s="143"/>
      <c r="I886" s="143"/>
      <c r="J886" s="143"/>
      <c r="K886" s="143"/>
      <c r="L886" s="144"/>
      <c r="M886" s="143"/>
      <c r="N886" s="145"/>
      <c r="O886" s="146"/>
      <c r="P886" s="144"/>
      <c r="Q886" s="147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  <c r="AC886" s="148"/>
      <c r="AD886" s="149"/>
      <c r="AE886" s="150"/>
      <c r="AF886" s="151"/>
      <c r="AG886" s="152"/>
      <c r="AH886" s="149"/>
    </row>
    <row r="887" customFormat="false" ht="12" hidden="false" customHeight="false" outlineLevel="0" collapsed="false">
      <c r="A887" s="134"/>
      <c r="B887" s="135"/>
      <c r="C887" s="143"/>
      <c r="D887" s="143"/>
      <c r="E887" s="143"/>
      <c r="F887" s="143"/>
      <c r="G887" s="143"/>
      <c r="H887" s="143"/>
      <c r="I887" s="143"/>
      <c r="J887" s="143"/>
      <c r="K887" s="143"/>
      <c r="L887" s="144"/>
      <c r="M887" s="143"/>
      <c r="N887" s="145"/>
      <c r="O887" s="146"/>
      <c r="P887" s="144"/>
      <c r="Q887" s="147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  <c r="AC887" s="148"/>
      <c r="AD887" s="149"/>
      <c r="AE887" s="150"/>
      <c r="AF887" s="151"/>
      <c r="AG887" s="152"/>
      <c r="AH887" s="149"/>
    </row>
    <row r="888" customFormat="false" ht="12" hidden="false" customHeight="false" outlineLevel="0" collapsed="false">
      <c r="A888" s="134"/>
      <c r="B888" s="135"/>
      <c r="C888" s="143"/>
      <c r="D888" s="143"/>
      <c r="E888" s="143"/>
      <c r="F888" s="143"/>
      <c r="G888" s="143"/>
      <c r="H888" s="143"/>
      <c r="I888" s="143"/>
      <c r="J888" s="143"/>
      <c r="K888" s="143"/>
      <c r="L888" s="144"/>
      <c r="M888" s="143"/>
      <c r="N888" s="145"/>
      <c r="O888" s="146"/>
      <c r="P888" s="144"/>
      <c r="Q888" s="147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  <c r="AC888" s="148"/>
      <c r="AD888" s="149"/>
      <c r="AE888" s="150"/>
      <c r="AF888" s="151"/>
      <c r="AG888" s="152"/>
      <c r="AH888" s="149"/>
    </row>
    <row r="889" customFormat="false" ht="12" hidden="false" customHeight="false" outlineLevel="0" collapsed="false">
      <c r="A889" s="134"/>
      <c r="B889" s="135"/>
      <c r="C889" s="143"/>
      <c r="D889" s="143"/>
      <c r="E889" s="143"/>
      <c r="F889" s="143"/>
      <c r="G889" s="143"/>
      <c r="H889" s="143"/>
      <c r="I889" s="143"/>
      <c r="J889" s="143"/>
      <c r="K889" s="143"/>
      <c r="L889" s="144"/>
      <c r="M889" s="143"/>
      <c r="N889" s="145"/>
      <c r="O889" s="146"/>
      <c r="P889" s="144"/>
      <c r="Q889" s="147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  <c r="AC889" s="148"/>
      <c r="AD889" s="149"/>
      <c r="AE889" s="150"/>
      <c r="AF889" s="151"/>
      <c r="AG889" s="152"/>
      <c r="AH889" s="149"/>
    </row>
    <row r="890" customFormat="false" ht="12" hidden="false" customHeight="false" outlineLevel="0" collapsed="false">
      <c r="A890" s="134"/>
      <c r="B890" s="135"/>
      <c r="C890" s="143"/>
      <c r="D890" s="143"/>
      <c r="E890" s="143"/>
      <c r="F890" s="143"/>
      <c r="G890" s="143"/>
      <c r="H890" s="143"/>
      <c r="I890" s="143"/>
      <c r="J890" s="143"/>
      <c r="K890" s="143"/>
      <c r="L890" s="144"/>
      <c r="M890" s="143"/>
      <c r="N890" s="145"/>
      <c r="O890" s="146"/>
      <c r="P890" s="144"/>
      <c r="Q890" s="147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  <c r="AC890" s="148"/>
      <c r="AD890" s="149"/>
      <c r="AE890" s="150"/>
      <c r="AF890" s="151"/>
      <c r="AG890" s="152"/>
      <c r="AH890" s="149"/>
    </row>
    <row r="891" customFormat="false" ht="12" hidden="false" customHeight="false" outlineLevel="0" collapsed="false">
      <c r="A891" s="134"/>
      <c r="B891" s="135"/>
      <c r="C891" s="143"/>
      <c r="D891" s="143"/>
      <c r="E891" s="143"/>
      <c r="F891" s="143"/>
      <c r="G891" s="143"/>
      <c r="H891" s="143"/>
      <c r="I891" s="143"/>
      <c r="J891" s="143"/>
      <c r="K891" s="143"/>
      <c r="L891" s="144"/>
      <c r="M891" s="143"/>
      <c r="N891" s="145"/>
      <c r="O891" s="146"/>
      <c r="P891" s="144"/>
      <c r="Q891" s="147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  <c r="AC891" s="148"/>
      <c r="AD891" s="149"/>
      <c r="AE891" s="150"/>
      <c r="AF891" s="151"/>
      <c r="AG891" s="152"/>
      <c r="AH891" s="149"/>
    </row>
    <row r="892" customFormat="false" ht="12" hidden="false" customHeight="false" outlineLevel="0" collapsed="false">
      <c r="A892" s="134"/>
      <c r="B892" s="135"/>
      <c r="C892" s="143"/>
      <c r="D892" s="143"/>
      <c r="E892" s="143"/>
      <c r="F892" s="143"/>
      <c r="G892" s="143"/>
      <c r="H892" s="143"/>
      <c r="I892" s="143"/>
      <c r="J892" s="143"/>
      <c r="K892" s="143"/>
      <c r="L892" s="144"/>
      <c r="M892" s="143"/>
      <c r="N892" s="145"/>
      <c r="O892" s="146"/>
      <c r="P892" s="144"/>
      <c r="Q892" s="147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  <c r="AC892" s="148"/>
      <c r="AD892" s="149"/>
      <c r="AE892" s="150"/>
      <c r="AF892" s="151"/>
      <c r="AG892" s="152"/>
      <c r="AH892" s="149"/>
    </row>
    <row r="893" customFormat="false" ht="12" hidden="false" customHeight="false" outlineLevel="0" collapsed="false">
      <c r="A893" s="134"/>
      <c r="B893" s="135"/>
      <c r="C893" s="143"/>
      <c r="D893" s="143"/>
      <c r="E893" s="143"/>
      <c r="F893" s="143"/>
      <c r="G893" s="143"/>
      <c r="H893" s="143"/>
      <c r="I893" s="143"/>
      <c r="J893" s="143"/>
      <c r="K893" s="143"/>
      <c r="L893" s="144"/>
      <c r="M893" s="143"/>
      <c r="N893" s="145"/>
      <c r="O893" s="146"/>
      <c r="P893" s="144"/>
      <c r="Q893" s="147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  <c r="AC893" s="148"/>
      <c r="AD893" s="149"/>
      <c r="AE893" s="150"/>
      <c r="AF893" s="151"/>
      <c r="AG893" s="152"/>
      <c r="AH893" s="149"/>
    </row>
    <row r="894" customFormat="false" ht="12" hidden="false" customHeight="false" outlineLevel="0" collapsed="false">
      <c r="A894" s="134"/>
      <c r="B894" s="135"/>
      <c r="C894" s="143"/>
      <c r="D894" s="143"/>
      <c r="E894" s="143"/>
      <c r="F894" s="143"/>
      <c r="G894" s="143"/>
      <c r="H894" s="143"/>
      <c r="I894" s="143"/>
      <c r="J894" s="143"/>
      <c r="K894" s="143"/>
      <c r="L894" s="144"/>
      <c r="M894" s="143"/>
      <c r="N894" s="145"/>
      <c r="O894" s="146"/>
      <c r="P894" s="144"/>
      <c r="Q894" s="147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  <c r="AC894" s="148"/>
      <c r="AD894" s="149"/>
      <c r="AE894" s="150"/>
      <c r="AF894" s="151"/>
      <c r="AG894" s="152"/>
      <c r="AH894" s="149"/>
    </row>
    <row r="895" customFormat="false" ht="12" hidden="false" customHeight="false" outlineLevel="0" collapsed="false">
      <c r="A895" s="134"/>
      <c r="B895" s="135"/>
      <c r="C895" s="143"/>
      <c r="D895" s="143"/>
      <c r="E895" s="143"/>
      <c r="F895" s="143"/>
      <c r="G895" s="143"/>
      <c r="H895" s="143"/>
      <c r="I895" s="143"/>
      <c r="J895" s="143"/>
      <c r="K895" s="143"/>
      <c r="L895" s="144"/>
      <c r="M895" s="143"/>
      <c r="N895" s="145"/>
      <c r="O895" s="146"/>
      <c r="P895" s="144"/>
      <c r="Q895" s="147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  <c r="AC895" s="148"/>
      <c r="AD895" s="149"/>
      <c r="AE895" s="150"/>
      <c r="AF895" s="151"/>
      <c r="AG895" s="152"/>
      <c r="AH895" s="149"/>
    </row>
    <row r="896" customFormat="false" ht="12" hidden="false" customHeight="false" outlineLevel="0" collapsed="false">
      <c r="A896" s="134"/>
      <c r="B896" s="135"/>
      <c r="C896" s="143"/>
      <c r="D896" s="143"/>
      <c r="E896" s="143"/>
      <c r="F896" s="143"/>
      <c r="G896" s="143"/>
      <c r="H896" s="143"/>
      <c r="I896" s="143"/>
      <c r="J896" s="143"/>
      <c r="K896" s="143"/>
      <c r="L896" s="144"/>
      <c r="M896" s="143"/>
      <c r="N896" s="145"/>
      <c r="O896" s="146"/>
      <c r="P896" s="144"/>
      <c r="Q896" s="147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  <c r="AC896" s="148"/>
      <c r="AD896" s="149"/>
      <c r="AE896" s="150"/>
      <c r="AF896" s="151"/>
      <c r="AG896" s="152"/>
      <c r="AH896" s="149"/>
    </row>
    <row r="897" customFormat="false" ht="12" hidden="false" customHeight="false" outlineLevel="0" collapsed="false">
      <c r="A897" s="134"/>
      <c r="B897" s="135"/>
      <c r="C897" s="143"/>
      <c r="D897" s="143"/>
      <c r="E897" s="143"/>
      <c r="F897" s="143"/>
      <c r="G897" s="143"/>
      <c r="H897" s="143"/>
      <c r="I897" s="143"/>
      <c r="J897" s="143"/>
      <c r="K897" s="143"/>
      <c r="L897" s="144"/>
      <c r="M897" s="143"/>
      <c r="N897" s="145"/>
      <c r="O897" s="146"/>
      <c r="P897" s="144"/>
      <c r="Q897" s="147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  <c r="AC897" s="148"/>
      <c r="AD897" s="149"/>
      <c r="AE897" s="150"/>
      <c r="AF897" s="151"/>
      <c r="AG897" s="152"/>
      <c r="AH897" s="149"/>
    </row>
    <row r="898" customFormat="false" ht="12" hidden="false" customHeight="false" outlineLevel="0" collapsed="false">
      <c r="A898" s="134"/>
      <c r="B898" s="135"/>
      <c r="C898" s="143"/>
      <c r="D898" s="143"/>
      <c r="E898" s="143"/>
      <c r="F898" s="143"/>
      <c r="G898" s="143"/>
      <c r="H898" s="143"/>
      <c r="I898" s="143"/>
      <c r="J898" s="143"/>
      <c r="K898" s="143"/>
      <c r="L898" s="144"/>
      <c r="M898" s="143"/>
      <c r="N898" s="145"/>
      <c r="O898" s="146"/>
      <c r="P898" s="144"/>
      <c r="Q898" s="147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  <c r="AC898" s="148"/>
      <c r="AD898" s="149"/>
      <c r="AE898" s="150"/>
      <c r="AF898" s="151"/>
      <c r="AG898" s="152"/>
      <c r="AH898" s="149"/>
    </row>
    <row r="899" customFormat="false" ht="12" hidden="false" customHeight="false" outlineLevel="0" collapsed="false">
      <c r="A899" s="134"/>
      <c r="B899" s="135"/>
      <c r="C899" s="143"/>
      <c r="D899" s="143"/>
      <c r="E899" s="143"/>
      <c r="F899" s="143"/>
      <c r="G899" s="143"/>
      <c r="H899" s="143"/>
      <c r="I899" s="143"/>
      <c r="J899" s="143"/>
      <c r="K899" s="143"/>
      <c r="L899" s="144"/>
      <c r="M899" s="143"/>
      <c r="N899" s="145"/>
      <c r="O899" s="146"/>
      <c r="P899" s="144"/>
      <c r="Q899" s="147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  <c r="AC899" s="148"/>
      <c r="AD899" s="149"/>
      <c r="AE899" s="150"/>
      <c r="AF899" s="151"/>
      <c r="AG899" s="152"/>
      <c r="AH899" s="149"/>
    </row>
    <row r="900" customFormat="false" ht="12" hidden="false" customHeight="false" outlineLevel="0" collapsed="false">
      <c r="A900" s="134"/>
      <c r="B900" s="135"/>
      <c r="C900" s="143"/>
      <c r="D900" s="143"/>
      <c r="E900" s="143"/>
      <c r="F900" s="143"/>
      <c r="G900" s="143"/>
      <c r="H900" s="143"/>
      <c r="I900" s="143"/>
      <c r="J900" s="143"/>
      <c r="K900" s="143"/>
      <c r="L900" s="144"/>
      <c r="M900" s="143"/>
      <c r="N900" s="145"/>
      <c r="O900" s="146"/>
      <c r="P900" s="144"/>
      <c r="Q900" s="147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  <c r="AC900" s="148"/>
      <c r="AD900" s="149"/>
      <c r="AE900" s="150"/>
      <c r="AF900" s="151"/>
      <c r="AG900" s="152"/>
      <c r="AH900" s="149"/>
    </row>
    <row r="901" customFormat="false" ht="12" hidden="false" customHeight="false" outlineLevel="0" collapsed="false">
      <c r="A901" s="134"/>
      <c r="B901" s="135"/>
      <c r="C901" s="143"/>
      <c r="D901" s="143"/>
      <c r="E901" s="143"/>
      <c r="F901" s="143"/>
      <c r="G901" s="143"/>
      <c r="H901" s="143"/>
      <c r="I901" s="143"/>
      <c r="J901" s="143"/>
      <c r="K901" s="143"/>
      <c r="L901" s="144"/>
      <c r="M901" s="143"/>
      <c r="N901" s="145"/>
      <c r="O901" s="146"/>
      <c r="P901" s="144"/>
      <c r="Q901" s="147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  <c r="AC901" s="148"/>
      <c r="AD901" s="149"/>
      <c r="AE901" s="150"/>
      <c r="AF901" s="151"/>
      <c r="AG901" s="152"/>
      <c r="AH901" s="149"/>
    </row>
    <row r="902" customFormat="false" ht="12" hidden="false" customHeight="false" outlineLevel="0" collapsed="false">
      <c r="A902" s="134"/>
      <c r="B902" s="135"/>
      <c r="C902" s="143"/>
      <c r="D902" s="143"/>
      <c r="E902" s="143"/>
      <c r="F902" s="143"/>
      <c r="G902" s="143"/>
      <c r="H902" s="143"/>
      <c r="I902" s="143"/>
      <c r="J902" s="143"/>
      <c r="K902" s="143"/>
      <c r="L902" s="144"/>
      <c r="M902" s="143"/>
      <c r="N902" s="145"/>
      <c r="O902" s="146"/>
      <c r="P902" s="144"/>
      <c r="Q902" s="147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  <c r="AC902" s="148"/>
      <c r="AD902" s="149"/>
      <c r="AE902" s="150"/>
      <c r="AF902" s="151"/>
      <c r="AG902" s="152"/>
      <c r="AH902" s="149"/>
    </row>
    <row r="903" customFormat="false" ht="12" hidden="false" customHeight="false" outlineLevel="0" collapsed="false">
      <c r="A903" s="134"/>
      <c r="B903" s="135"/>
      <c r="C903" s="143"/>
      <c r="D903" s="143"/>
      <c r="E903" s="143"/>
      <c r="F903" s="143"/>
      <c r="G903" s="143"/>
      <c r="H903" s="143"/>
      <c r="I903" s="143"/>
      <c r="J903" s="143"/>
      <c r="K903" s="143"/>
      <c r="L903" s="144"/>
      <c r="M903" s="143"/>
      <c r="N903" s="145"/>
      <c r="O903" s="146"/>
      <c r="P903" s="144"/>
      <c r="Q903" s="147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  <c r="AC903" s="148"/>
      <c r="AD903" s="149"/>
      <c r="AE903" s="150"/>
      <c r="AF903" s="151"/>
      <c r="AG903" s="152"/>
      <c r="AH903" s="149"/>
    </row>
    <row r="904" customFormat="false" ht="12" hidden="false" customHeight="false" outlineLevel="0" collapsed="false">
      <c r="A904" s="134"/>
      <c r="B904" s="135"/>
      <c r="C904" s="143"/>
      <c r="D904" s="143"/>
      <c r="E904" s="143"/>
      <c r="F904" s="143"/>
      <c r="G904" s="143"/>
      <c r="H904" s="143"/>
      <c r="I904" s="143"/>
      <c r="J904" s="143"/>
      <c r="K904" s="143"/>
      <c r="L904" s="144"/>
      <c r="M904" s="143"/>
      <c r="N904" s="145"/>
      <c r="O904" s="146"/>
      <c r="P904" s="144"/>
      <c r="Q904" s="147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  <c r="AC904" s="148"/>
      <c r="AD904" s="149"/>
      <c r="AE904" s="150"/>
      <c r="AF904" s="151"/>
      <c r="AG904" s="152"/>
      <c r="AH904" s="149"/>
    </row>
    <row r="905" customFormat="false" ht="12" hidden="false" customHeight="false" outlineLevel="0" collapsed="false">
      <c r="A905" s="134"/>
      <c r="B905" s="135"/>
      <c r="C905" s="143"/>
      <c r="D905" s="143"/>
      <c r="E905" s="143"/>
      <c r="F905" s="143"/>
      <c r="G905" s="143"/>
      <c r="H905" s="143"/>
      <c r="I905" s="143"/>
      <c r="J905" s="143"/>
      <c r="K905" s="143"/>
      <c r="L905" s="144"/>
      <c r="M905" s="143"/>
      <c r="N905" s="145"/>
      <c r="O905" s="146"/>
      <c r="P905" s="144"/>
      <c r="Q905" s="147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  <c r="AC905" s="148"/>
      <c r="AD905" s="149"/>
      <c r="AE905" s="150"/>
      <c r="AF905" s="151"/>
      <c r="AG905" s="152"/>
      <c r="AH905" s="149"/>
    </row>
    <row r="906" customFormat="false" ht="12" hidden="false" customHeight="false" outlineLevel="0" collapsed="false">
      <c r="A906" s="134"/>
      <c r="B906" s="135"/>
      <c r="C906" s="143"/>
      <c r="D906" s="143"/>
      <c r="E906" s="143"/>
      <c r="F906" s="143"/>
      <c r="G906" s="143"/>
      <c r="H906" s="143"/>
      <c r="I906" s="143"/>
      <c r="J906" s="143"/>
      <c r="K906" s="143"/>
      <c r="L906" s="144"/>
      <c r="M906" s="143"/>
      <c r="N906" s="145"/>
      <c r="O906" s="146"/>
      <c r="P906" s="144"/>
      <c r="Q906" s="147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  <c r="AC906" s="148"/>
      <c r="AD906" s="149"/>
      <c r="AE906" s="150"/>
      <c r="AF906" s="151"/>
      <c r="AG906" s="152"/>
      <c r="AH906" s="149"/>
    </row>
    <row r="907" customFormat="false" ht="12" hidden="false" customHeight="false" outlineLevel="0" collapsed="false">
      <c r="A907" s="134"/>
      <c r="B907" s="135"/>
      <c r="C907" s="143"/>
      <c r="D907" s="143"/>
      <c r="E907" s="143"/>
      <c r="F907" s="143"/>
      <c r="G907" s="143"/>
      <c r="H907" s="143"/>
      <c r="I907" s="143"/>
      <c r="J907" s="143"/>
      <c r="K907" s="143"/>
      <c r="L907" s="144"/>
      <c r="M907" s="143"/>
      <c r="N907" s="145"/>
      <c r="O907" s="146"/>
      <c r="P907" s="144"/>
      <c r="Q907" s="147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  <c r="AC907" s="148"/>
      <c r="AD907" s="149"/>
      <c r="AE907" s="150"/>
      <c r="AF907" s="151"/>
      <c r="AG907" s="152"/>
      <c r="AH907" s="149"/>
    </row>
    <row r="908" customFormat="false" ht="12" hidden="false" customHeight="false" outlineLevel="0" collapsed="false">
      <c r="A908" s="134"/>
      <c r="B908" s="135"/>
      <c r="C908" s="143"/>
      <c r="D908" s="143"/>
      <c r="E908" s="143"/>
      <c r="F908" s="143"/>
      <c r="G908" s="143"/>
      <c r="H908" s="143"/>
      <c r="I908" s="143"/>
      <c r="J908" s="143"/>
      <c r="K908" s="143"/>
      <c r="L908" s="144"/>
      <c r="M908" s="143"/>
      <c r="N908" s="145"/>
      <c r="O908" s="146"/>
      <c r="P908" s="144"/>
      <c r="Q908" s="147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  <c r="AC908" s="148"/>
      <c r="AD908" s="149"/>
      <c r="AE908" s="150"/>
      <c r="AF908" s="151"/>
      <c r="AG908" s="152"/>
      <c r="AH908" s="149"/>
    </row>
    <row r="909" customFormat="false" ht="12" hidden="false" customHeight="false" outlineLevel="0" collapsed="false">
      <c r="A909" s="134"/>
      <c r="B909" s="135"/>
      <c r="C909" s="143"/>
      <c r="D909" s="143"/>
      <c r="E909" s="143"/>
      <c r="F909" s="143"/>
      <c r="G909" s="143"/>
      <c r="H909" s="143"/>
      <c r="I909" s="143"/>
      <c r="J909" s="143"/>
      <c r="K909" s="143"/>
      <c r="L909" s="144"/>
      <c r="M909" s="143"/>
      <c r="N909" s="145"/>
      <c r="O909" s="146"/>
      <c r="P909" s="144"/>
      <c r="Q909" s="147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  <c r="AC909" s="148"/>
      <c r="AD909" s="149"/>
      <c r="AE909" s="150"/>
      <c r="AF909" s="151"/>
      <c r="AG909" s="152"/>
      <c r="AH909" s="149"/>
    </row>
    <row r="910" customFormat="false" ht="12" hidden="false" customHeight="false" outlineLevel="0" collapsed="false">
      <c r="A910" s="134"/>
      <c r="B910" s="135"/>
      <c r="C910" s="143"/>
      <c r="D910" s="143"/>
      <c r="E910" s="143"/>
      <c r="F910" s="143"/>
      <c r="G910" s="143"/>
      <c r="H910" s="143"/>
      <c r="I910" s="143"/>
      <c r="J910" s="143"/>
      <c r="K910" s="143"/>
      <c r="L910" s="144"/>
      <c r="M910" s="143"/>
      <c r="N910" s="145"/>
      <c r="O910" s="146"/>
      <c r="P910" s="144"/>
      <c r="Q910" s="147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  <c r="AC910" s="148"/>
      <c r="AD910" s="149"/>
      <c r="AE910" s="150"/>
      <c r="AF910" s="151"/>
      <c r="AG910" s="152"/>
      <c r="AH910" s="149"/>
    </row>
    <row r="911" customFormat="false" ht="12" hidden="false" customHeight="false" outlineLevel="0" collapsed="false">
      <c r="A911" s="134"/>
      <c r="B911" s="135"/>
      <c r="C911" s="143"/>
      <c r="D911" s="143"/>
      <c r="E911" s="143"/>
      <c r="F911" s="143"/>
      <c r="G911" s="143"/>
      <c r="H911" s="143"/>
      <c r="I911" s="143"/>
      <c r="J911" s="143"/>
      <c r="K911" s="143"/>
      <c r="L911" s="144"/>
      <c r="M911" s="143"/>
      <c r="N911" s="145"/>
      <c r="O911" s="146"/>
      <c r="P911" s="144"/>
      <c r="Q911" s="147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  <c r="AC911" s="148"/>
      <c r="AD911" s="149"/>
      <c r="AE911" s="150"/>
      <c r="AF911" s="151"/>
      <c r="AG911" s="152"/>
      <c r="AH911" s="149"/>
    </row>
    <row r="912" customFormat="false" ht="12" hidden="false" customHeight="false" outlineLevel="0" collapsed="false">
      <c r="A912" s="134"/>
      <c r="B912" s="135"/>
      <c r="C912" s="143"/>
      <c r="D912" s="143"/>
      <c r="E912" s="143"/>
      <c r="F912" s="143"/>
      <c r="G912" s="143"/>
      <c r="H912" s="143"/>
      <c r="I912" s="143"/>
      <c r="J912" s="143"/>
      <c r="K912" s="143"/>
      <c r="L912" s="144"/>
      <c r="M912" s="143"/>
      <c r="N912" s="145"/>
      <c r="O912" s="146"/>
      <c r="P912" s="144"/>
      <c r="Q912" s="147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  <c r="AC912" s="148"/>
      <c r="AD912" s="149"/>
      <c r="AE912" s="150"/>
      <c r="AF912" s="151"/>
      <c r="AG912" s="152"/>
      <c r="AH912" s="149"/>
    </row>
    <row r="913" customFormat="false" ht="12" hidden="false" customHeight="false" outlineLevel="0" collapsed="false">
      <c r="A913" s="134"/>
      <c r="B913" s="135"/>
      <c r="C913" s="143"/>
      <c r="D913" s="143"/>
      <c r="E913" s="143"/>
      <c r="F913" s="143"/>
      <c r="G913" s="143"/>
      <c r="H913" s="143"/>
      <c r="I913" s="143"/>
      <c r="J913" s="143"/>
      <c r="K913" s="143"/>
      <c r="L913" s="144"/>
      <c r="M913" s="143"/>
      <c r="N913" s="145"/>
      <c r="O913" s="146"/>
      <c r="P913" s="144"/>
      <c r="Q913" s="147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  <c r="AC913" s="148"/>
      <c r="AD913" s="149"/>
      <c r="AE913" s="150"/>
      <c r="AF913" s="151"/>
      <c r="AG913" s="152"/>
      <c r="AH913" s="149"/>
    </row>
    <row r="914" customFormat="false" ht="12" hidden="false" customHeight="false" outlineLevel="0" collapsed="false">
      <c r="A914" s="134"/>
      <c r="B914" s="135"/>
      <c r="C914" s="143"/>
      <c r="D914" s="143"/>
      <c r="E914" s="143"/>
      <c r="F914" s="143"/>
      <c r="G914" s="143"/>
      <c r="H914" s="143"/>
      <c r="I914" s="143"/>
      <c r="J914" s="143"/>
      <c r="K914" s="143"/>
      <c r="L914" s="144"/>
      <c r="M914" s="143"/>
      <c r="N914" s="145"/>
      <c r="O914" s="146"/>
      <c r="P914" s="144"/>
      <c r="Q914" s="147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  <c r="AC914" s="148"/>
      <c r="AD914" s="149"/>
      <c r="AE914" s="150"/>
      <c r="AF914" s="151"/>
      <c r="AG914" s="152"/>
      <c r="AH914" s="149"/>
    </row>
    <row r="915" customFormat="false" ht="12" hidden="false" customHeight="false" outlineLevel="0" collapsed="false">
      <c r="A915" s="134"/>
      <c r="B915" s="135"/>
      <c r="C915" s="143"/>
      <c r="D915" s="143"/>
      <c r="E915" s="143"/>
      <c r="F915" s="143"/>
      <c r="G915" s="143"/>
      <c r="H915" s="143"/>
      <c r="I915" s="143"/>
      <c r="J915" s="143"/>
      <c r="K915" s="143"/>
      <c r="L915" s="144"/>
      <c r="M915" s="143"/>
      <c r="N915" s="145"/>
      <c r="O915" s="146"/>
      <c r="P915" s="144"/>
      <c r="Q915" s="147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  <c r="AC915" s="148"/>
      <c r="AD915" s="149"/>
      <c r="AE915" s="150"/>
      <c r="AF915" s="151"/>
      <c r="AG915" s="152"/>
      <c r="AH915" s="149"/>
    </row>
    <row r="916" customFormat="false" ht="12" hidden="false" customHeight="false" outlineLevel="0" collapsed="false">
      <c r="A916" s="134"/>
      <c r="B916" s="135"/>
      <c r="C916" s="143"/>
      <c r="D916" s="143"/>
      <c r="E916" s="143"/>
      <c r="F916" s="143"/>
      <c r="G916" s="143"/>
      <c r="H916" s="143"/>
      <c r="I916" s="143"/>
      <c r="J916" s="143"/>
      <c r="K916" s="143"/>
      <c r="L916" s="144"/>
      <c r="M916" s="143"/>
      <c r="N916" s="145"/>
      <c r="O916" s="146"/>
      <c r="P916" s="144"/>
      <c r="Q916" s="147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  <c r="AC916" s="148"/>
      <c r="AD916" s="149"/>
      <c r="AE916" s="150"/>
      <c r="AF916" s="151"/>
      <c r="AG916" s="152"/>
      <c r="AH916" s="149"/>
    </row>
    <row r="917" customFormat="false" ht="12" hidden="false" customHeight="false" outlineLevel="0" collapsed="false">
      <c r="A917" s="134"/>
      <c r="B917" s="135"/>
      <c r="C917" s="143"/>
      <c r="D917" s="143"/>
      <c r="E917" s="143"/>
      <c r="F917" s="143"/>
      <c r="G917" s="143"/>
      <c r="H917" s="143"/>
      <c r="I917" s="143"/>
      <c r="J917" s="143"/>
      <c r="K917" s="143"/>
      <c r="L917" s="144"/>
      <c r="M917" s="143"/>
      <c r="N917" s="145"/>
      <c r="O917" s="146"/>
      <c r="P917" s="144"/>
      <c r="Q917" s="147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  <c r="AC917" s="148"/>
      <c r="AD917" s="149"/>
      <c r="AE917" s="150"/>
      <c r="AF917" s="151"/>
      <c r="AG917" s="152"/>
      <c r="AH917" s="149"/>
    </row>
    <row r="918" customFormat="false" ht="12" hidden="false" customHeight="false" outlineLevel="0" collapsed="false">
      <c r="A918" s="134"/>
      <c r="B918" s="135"/>
      <c r="C918" s="143"/>
      <c r="D918" s="143"/>
      <c r="E918" s="143"/>
      <c r="F918" s="143"/>
      <c r="G918" s="143"/>
      <c r="H918" s="143"/>
      <c r="I918" s="143"/>
      <c r="J918" s="143"/>
      <c r="K918" s="143"/>
      <c r="L918" s="144"/>
      <c r="M918" s="143"/>
      <c r="N918" s="145"/>
      <c r="O918" s="146"/>
      <c r="P918" s="144"/>
      <c r="Q918" s="147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  <c r="AC918" s="148"/>
      <c r="AD918" s="149"/>
      <c r="AE918" s="150"/>
      <c r="AF918" s="151"/>
      <c r="AG918" s="152"/>
      <c r="AH918" s="149"/>
    </row>
    <row r="919" customFormat="false" ht="12" hidden="false" customHeight="false" outlineLevel="0" collapsed="false">
      <c r="A919" s="134"/>
      <c r="B919" s="135"/>
      <c r="C919" s="143"/>
      <c r="D919" s="143"/>
      <c r="E919" s="143"/>
      <c r="F919" s="143"/>
      <c r="G919" s="143"/>
      <c r="H919" s="143"/>
      <c r="I919" s="143"/>
      <c r="J919" s="143"/>
      <c r="K919" s="143"/>
      <c r="L919" s="144"/>
      <c r="M919" s="143"/>
      <c r="N919" s="145"/>
      <c r="O919" s="146"/>
      <c r="P919" s="144"/>
      <c r="Q919" s="147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  <c r="AC919" s="148"/>
      <c r="AD919" s="149"/>
      <c r="AE919" s="150"/>
      <c r="AF919" s="151"/>
      <c r="AG919" s="152"/>
      <c r="AH919" s="149"/>
    </row>
    <row r="920" customFormat="false" ht="12" hidden="false" customHeight="false" outlineLevel="0" collapsed="false">
      <c r="A920" s="134"/>
      <c r="B920" s="135"/>
      <c r="C920" s="143"/>
      <c r="D920" s="143"/>
      <c r="E920" s="143"/>
      <c r="F920" s="143"/>
      <c r="G920" s="143"/>
      <c r="H920" s="143"/>
      <c r="I920" s="143"/>
      <c r="J920" s="143"/>
      <c r="K920" s="143"/>
      <c r="L920" s="144"/>
      <c r="M920" s="143"/>
      <c r="N920" s="145"/>
      <c r="O920" s="146"/>
      <c r="P920" s="144"/>
      <c r="Q920" s="147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  <c r="AC920" s="148"/>
      <c r="AD920" s="149"/>
      <c r="AE920" s="150"/>
      <c r="AF920" s="151"/>
      <c r="AG920" s="152"/>
      <c r="AH920" s="149"/>
    </row>
    <row r="921" customFormat="false" ht="12" hidden="false" customHeight="false" outlineLevel="0" collapsed="false">
      <c r="A921" s="134"/>
      <c r="B921" s="135"/>
      <c r="C921" s="143"/>
      <c r="D921" s="143"/>
      <c r="E921" s="143"/>
      <c r="F921" s="143"/>
      <c r="G921" s="143"/>
      <c r="H921" s="143"/>
      <c r="I921" s="143"/>
      <c r="J921" s="143"/>
      <c r="K921" s="143"/>
      <c r="L921" s="144"/>
      <c r="M921" s="143"/>
      <c r="N921" s="145"/>
      <c r="O921" s="146"/>
      <c r="P921" s="144"/>
      <c r="Q921" s="147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  <c r="AC921" s="148"/>
      <c r="AD921" s="149"/>
      <c r="AE921" s="150"/>
      <c r="AF921" s="151"/>
      <c r="AG921" s="152"/>
      <c r="AH921" s="149"/>
    </row>
    <row r="922" customFormat="false" ht="12" hidden="false" customHeight="false" outlineLevel="0" collapsed="false">
      <c r="A922" s="134"/>
      <c r="B922" s="135"/>
      <c r="C922" s="143"/>
      <c r="D922" s="143"/>
      <c r="E922" s="143"/>
      <c r="F922" s="143"/>
      <c r="G922" s="143"/>
      <c r="H922" s="143"/>
      <c r="I922" s="143"/>
      <c r="J922" s="143"/>
      <c r="K922" s="143"/>
      <c r="L922" s="144"/>
      <c r="M922" s="143"/>
      <c r="N922" s="145"/>
      <c r="O922" s="146"/>
      <c r="P922" s="144"/>
      <c r="Q922" s="147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  <c r="AC922" s="148"/>
      <c r="AD922" s="149"/>
      <c r="AE922" s="150"/>
      <c r="AF922" s="151"/>
      <c r="AG922" s="152"/>
      <c r="AH922" s="149"/>
    </row>
    <row r="923" customFormat="false" ht="12" hidden="false" customHeight="false" outlineLevel="0" collapsed="false">
      <c r="A923" s="134"/>
      <c r="B923" s="135"/>
      <c r="C923" s="143"/>
      <c r="D923" s="143"/>
      <c r="E923" s="143"/>
      <c r="F923" s="143"/>
      <c r="G923" s="143"/>
      <c r="H923" s="143"/>
      <c r="I923" s="143"/>
      <c r="J923" s="143"/>
      <c r="K923" s="143"/>
      <c r="L923" s="144"/>
      <c r="M923" s="143"/>
      <c r="N923" s="145"/>
      <c r="O923" s="146"/>
      <c r="P923" s="144"/>
      <c r="Q923" s="147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  <c r="AC923" s="148"/>
      <c r="AD923" s="149"/>
      <c r="AE923" s="150"/>
      <c r="AF923" s="151"/>
      <c r="AG923" s="152"/>
      <c r="AH923" s="149"/>
    </row>
    <row r="924" customFormat="false" ht="12" hidden="false" customHeight="false" outlineLevel="0" collapsed="false">
      <c r="A924" s="134"/>
      <c r="B924" s="135"/>
      <c r="C924" s="143"/>
      <c r="D924" s="143"/>
      <c r="E924" s="143"/>
      <c r="F924" s="143"/>
      <c r="G924" s="143"/>
      <c r="H924" s="143"/>
      <c r="I924" s="143"/>
      <c r="J924" s="143"/>
      <c r="K924" s="143"/>
      <c r="L924" s="144"/>
      <c r="M924" s="143"/>
      <c r="N924" s="145"/>
      <c r="O924" s="146"/>
      <c r="P924" s="144"/>
      <c r="Q924" s="147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  <c r="AC924" s="148"/>
      <c r="AD924" s="149"/>
      <c r="AE924" s="150"/>
      <c r="AF924" s="151"/>
      <c r="AG924" s="152"/>
      <c r="AH924" s="149"/>
    </row>
    <row r="925" customFormat="false" ht="12" hidden="false" customHeight="false" outlineLevel="0" collapsed="false">
      <c r="A925" s="134"/>
      <c r="B925" s="135"/>
      <c r="C925" s="143"/>
      <c r="D925" s="143"/>
      <c r="E925" s="143"/>
      <c r="F925" s="143"/>
      <c r="G925" s="143"/>
      <c r="H925" s="143"/>
      <c r="I925" s="143"/>
      <c r="J925" s="143"/>
      <c r="K925" s="143"/>
      <c r="L925" s="144"/>
      <c r="M925" s="143"/>
      <c r="N925" s="145"/>
      <c r="O925" s="146"/>
      <c r="P925" s="144"/>
      <c r="Q925" s="147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  <c r="AC925" s="148"/>
      <c r="AD925" s="149"/>
      <c r="AE925" s="150"/>
      <c r="AF925" s="151"/>
      <c r="AG925" s="152"/>
      <c r="AH925" s="149"/>
    </row>
    <row r="926" customFormat="false" ht="12" hidden="false" customHeight="false" outlineLevel="0" collapsed="false">
      <c r="A926" s="134"/>
      <c r="B926" s="135"/>
      <c r="C926" s="143"/>
      <c r="D926" s="143"/>
      <c r="E926" s="143"/>
      <c r="F926" s="143"/>
      <c r="G926" s="143"/>
      <c r="H926" s="143"/>
      <c r="I926" s="143"/>
      <c r="J926" s="143"/>
      <c r="K926" s="143"/>
      <c r="L926" s="144"/>
      <c r="M926" s="143"/>
      <c r="N926" s="145"/>
      <c r="O926" s="146"/>
      <c r="P926" s="144"/>
      <c r="Q926" s="147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  <c r="AC926" s="148"/>
      <c r="AD926" s="149"/>
      <c r="AE926" s="150"/>
      <c r="AF926" s="151"/>
      <c r="AG926" s="152"/>
      <c r="AH926" s="149"/>
    </row>
    <row r="927" customFormat="false" ht="12" hidden="false" customHeight="false" outlineLevel="0" collapsed="false">
      <c r="A927" s="134"/>
      <c r="B927" s="135"/>
      <c r="C927" s="143"/>
      <c r="D927" s="143"/>
      <c r="E927" s="143"/>
      <c r="F927" s="143"/>
      <c r="G927" s="143"/>
      <c r="H927" s="143"/>
      <c r="I927" s="143"/>
      <c r="J927" s="143"/>
      <c r="K927" s="143"/>
      <c r="L927" s="144"/>
      <c r="M927" s="143"/>
      <c r="N927" s="145"/>
      <c r="O927" s="146"/>
      <c r="P927" s="144"/>
      <c r="Q927" s="147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  <c r="AC927" s="148"/>
      <c r="AD927" s="149"/>
      <c r="AE927" s="150"/>
      <c r="AF927" s="151"/>
      <c r="AG927" s="152"/>
      <c r="AH927" s="149"/>
    </row>
    <row r="928" customFormat="false" ht="12" hidden="false" customHeight="false" outlineLevel="0" collapsed="false">
      <c r="A928" s="134"/>
      <c r="B928" s="135"/>
      <c r="C928" s="143"/>
      <c r="D928" s="143"/>
      <c r="E928" s="143"/>
      <c r="F928" s="143"/>
      <c r="G928" s="143"/>
      <c r="H928" s="143"/>
      <c r="I928" s="143"/>
      <c r="J928" s="143"/>
      <c r="K928" s="143"/>
      <c r="L928" s="144"/>
      <c r="M928" s="143"/>
      <c r="N928" s="145"/>
      <c r="O928" s="146"/>
      <c r="P928" s="144"/>
      <c r="Q928" s="147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  <c r="AC928" s="148"/>
      <c r="AD928" s="149"/>
      <c r="AE928" s="150"/>
      <c r="AF928" s="151"/>
      <c r="AG928" s="152"/>
      <c r="AH928" s="149"/>
    </row>
    <row r="929" customFormat="false" ht="12" hidden="false" customHeight="false" outlineLevel="0" collapsed="false">
      <c r="A929" s="134"/>
      <c r="B929" s="135"/>
      <c r="C929" s="143"/>
      <c r="D929" s="143"/>
      <c r="E929" s="143"/>
      <c r="F929" s="143"/>
      <c r="G929" s="143"/>
      <c r="H929" s="143"/>
      <c r="I929" s="143"/>
      <c r="J929" s="143"/>
      <c r="K929" s="143"/>
      <c r="L929" s="144"/>
      <c r="M929" s="143"/>
      <c r="N929" s="145"/>
      <c r="O929" s="146"/>
      <c r="P929" s="144"/>
      <c r="Q929" s="147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  <c r="AC929" s="148"/>
      <c r="AD929" s="149"/>
      <c r="AE929" s="150"/>
      <c r="AF929" s="151"/>
      <c r="AG929" s="152"/>
      <c r="AH929" s="149"/>
    </row>
    <row r="930" customFormat="false" ht="12" hidden="false" customHeight="false" outlineLevel="0" collapsed="false">
      <c r="A930" s="134"/>
      <c r="B930" s="135"/>
      <c r="C930" s="143"/>
      <c r="D930" s="143"/>
      <c r="E930" s="143"/>
      <c r="F930" s="143"/>
      <c r="G930" s="143"/>
      <c r="H930" s="143"/>
      <c r="I930" s="143"/>
      <c r="J930" s="143"/>
      <c r="K930" s="143"/>
      <c r="L930" s="144"/>
      <c r="M930" s="143"/>
      <c r="N930" s="145"/>
      <c r="O930" s="146"/>
      <c r="P930" s="144"/>
      <c r="Q930" s="147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  <c r="AC930" s="148"/>
      <c r="AD930" s="149"/>
      <c r="AE930" s="150"/>
      <c r="AF930" s="151"/>
      <c r="AG930" s="152"/>
      <c r="AH930" s="149"/>
    </row>
    <row r="931" customFormat="false" ht="12" hidden="false" customHeight="false" outlineLevel="0" collapsed="false">
      <c r="A931" s="134"/>
      <c r="B931" s="135"/>
      <c r="C931" s="143"/>
      <c r="D931" s="143"/>
      <c r="E931" s="143"/>
      <c r="F931" s="143"/>
      <c r="G931" s="143"/>
      <c r="H931" s="143"/>
      <c r="I931" s="143"/>
      <c r="J931" s="143"/>
      <c r="K931" s="143"/>
      <c r="L931" s="144"/>
      <c r="M931" s="143"/>
      <c r="N931" s="145"/>
      <c r="O931" s="146"/>
      <c r="P931" s="144"/>
      <c r="Q931" s="147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  <c r="AC931" s="148"/>
      <c r="AD931" s="149"/>
      <c r="AE931" s="150"/>
      <c r="AF931" s="151"/>
      <c r="AG931" s="152"/>
      <c r="AH931" s="149"/>
    </row>
    <row r="932" customFormat="false" ht="12" hidden="false" customHeight="false" outlineLevel="0" collapsed="false">
      <c r="A932" s="134"/>
      <c r="B932" s="135"/>
      <c r="C932" s="143"/>
      <c r="D932" s="143"/>
      <c r="E932" s="143"/>
      <c r="F932" s="143"/>
      <c r="G932" s="143"/>
      <c r="H932" s="143"/>
      <c r="I932" s="143"/>
      <c r="J932" s="143"/>
      <c r="K932" s="143"/>
      <c r="L932" s="144"/>
      <c r="M932" s="143"/>
      <c r="N932" s="145"/>
      <c r="O932" s="146"/>
      <c r="P932" s="144"/>
      <c r="Q932" s="147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  <c r="AC932" s="148"/>
      <c r="AD932" s="149"/>
      <c r="AE932" s="150"/>
      <c r="AF932" s="151"/>
      <c r="AG932" s="152"/>
      <c r="AH932" s="149"/>
    </row>
    <row r="933" customFormat="false" ht="12" hidden="false" customHeight="false" outlineLevel="0" collapsed="false">
      <c r="A933" s="134"/>
      <c r="B933" s="135"/>
      <c r="C933" s="143"/>
      <c r="D933" s="143"/>
      <c r="E933" s="143"/>
      <c r="F933" s="143"/>
      <c r="G933" s="143"/>
      <c r="H933" s="143"/>
      <c r="I933" s="143"/>
      <c r="J933" s="143"/>
      <c r="K933" s="143"/>
      <c r="L933" s="144"/>
      <c r="M933" s="143"/>
      <c r="N933" s="145"/>
      <c r="O933" s="146"/>
      <c r="P933" s="144"/>
      <c r="Q933" s="147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  <c r="AC933" s="148"/>
      <c r="AD933" s="149"/>
      <c r="AE933" s="150"/>
      <c r="AF933" s="151"/>
      <c r="AG933" s="152"/>
      <c r="AH933" s="149"/>
    </row>
    <row r="934" customFormat="false" ht="12" hidden="false" customHeight="false" outlineLevel="0" collapsed="false">
      <c r="A934" s="134"/>
      <c r="B934" s="135"/>
      <c r="C934" s="143"/>
      <c r="D934" s="143"/>
      <c r="E934" s="143"/>
      <c r="F934" s="143"/>
      <c r="G934" s="143"/>
      <c r="H934" s="143"/>
      <c r="I934" s="143"/>
      <c r="J934" s="143"/>
      <c r="K934" s="143"/>
      <c r="L934" s="144"/>
      <c r="M934" s="143"/>
      <c r="N934" s="145"/>
      <c r="O934" s="146"/>
      <c r="P934" s="144"/>
      <c r="Q934" s="147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  <c r="AC934" s="148"/>
      <c r="AD934" s="149"/>
      <c r="AE934" s="150"/>
      <c r="AF934" s="151"/>
      <c r="AG934" s="152"/>
      <c r="AH934" s="149"/>
    </row>
    <row r="935" customFormat="false" ht="12" hidden="false" customHeight="false" outlineLevel="0" collapsed="false">
      <c r="A935" s="134"/>
      <c r="B935" s="135"/>
      <c r="C935" s="143"/>
      <c r="D935" s="143"/>
      <c r="E935" s="143"/>
      <c r="F935" s="143"/>
      <c r="G935" s="143"/>
      <c r="H935" s="143"/>
      <c r="I935" s="143"/>
      <c r="J935" s="143"/>
      <c r="K935" s="143"/>
      <c r="L935" s="144"/>
      <c r="M935" s="143"/>
      <c r="N935" s="145"/>
      <c r="O935" s="146"/>
      <c r="P935" s="144"/>
      <c r="Q935" s="147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  <c r="AC935" s="148"/>
      <c r="AD935" s="149"/>
      <c r="AE935" s="150"/>
      <c r="AF935" s="151"/>
      <c r="AG935" s="152"/>
      <c r="AH935" s="149"/>
    </row>
    <row r="936" customFormat="false" ht="12" hidden="false" customHeight="false" outlineLevel="0" collapsed="false">
      <c r="A936" s="134"/>
      <c r="B936" s="135"/>
      <c r="C936" s="143"/>
      <c r="D936" s="143"/>
      <c r="E936" s="143"/>
      <c r="F936" s="143"/>
      <c r="G936" s="143"/>
      <c r="H936" s="143"/>
      <c r="I936" s="143"/>
      <c r="J936" s="143"/>
      <c r="K936" s="143"/>
      <c r="L936" s="144"/>
      <c r="M936" s="143"/>
      <c r="N936" s="145"/>
      <c r="O936" s="146"/>
      <c r="P936" s="144"/>
      <c r="Q936" s="147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  <c r="AC936" s="148"/>
      <c r="AD936" s="149"/>
      <c r="AE936" s="150"/>
      <c r="AF936" s="151"/>
      <c r="AG936" s="152"/>
      <c r="AH936" s="149"/>
    </row>
    <row r="937" customFormat="false" ht="12" hidden="false" customHeight="false" outlineLevel="0" collapsed="false">
      <c r="A937" s="134"/>
      <c r="B937" s="135"/>
      <c r="C937" s="143"/>
      <c r="D937" s="143"/>
      <c r="E937" s="143"/>
      <c r="F937" s="143"/>
      <c r="G937" s="143"/>
      <c r="H937" s="143"/>
      <c r="I937" s="143"/>
      <c r="J937" s="143"/>
      <c r="K937" s="143"/>
      <c r="L937" s="144"/>
      <c r="M937" s="143"/>
      <c r="N937" s="145"/>
      <c r="O937" s="146"/>
      <c r="P937" s="144"/>
      <c r="Q937" s="147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  <c r="AC937" s="148"/>
      <c r="AD937" s="149"/>
      <c r="AE937" s="150"/>
      <c r="AF937" s="151"/>
      <c r="AG937" s="152"/>
      <c r="AH937" s="149"/>
    </row>
    <row r="938" customFormat="false" ht="12" hidden="false" customHeight="false" outlineLevel="0" collapsed="false">
      <c r="A938" s="134"/>
      <c r="B938" s="135"/>
      <c r="C938" s="143"/>
      <c r="D938" s="143"/>
      <c r="E938" s="143"/>
      <c r="F938" s="143"/>
      <c r="G938" s="143"/>
      <c r="H938" s="143"/>
      <c r="I938" s="143"/>
      <c r="J938" s="143"/>
      <c r="K938" s="143"/>
      <c r="L938" s="144"/>
      <c r="M938" s="143"/>
      <c r="N938" s="145"/>
      <c r="O938" s="146"/>
      <c r="P938" s="144"/>
      <c r="Q938" s="147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  <c r="AC938" s="148"/>
      <c r="AD938" s="149"/>
      <c r="AE938" s="150"/>
      <c r="AF938" s="151"/>
      <c r="AG938" s="152"/>
      <c r="AH938" s="149"/>
    </row>
    <row r="939" customFormat="false" ht="12" hidden="false" customHeight="false" outlineLevel="0" collapsed="false">
      <c r="A939" s="134"/>
      <c r="B939" s="135"/>
      <c r="C939" s="143"/>
      <c r="D939" s="143"/>
      <c r="E939" s="143"/>
      <c r="F939" s="143"/>
      <c r="G939" s="143"/>
      <c r="H939" s="143"/>
      <c r="I939" s="143"/>
      <c r="J939" s="143"/>
      <c r="K939" s="143"/>
      <c r="L939" s="144"/>
      <c r="M939" s="143"/>
      <c r="N939" s="145"/>
      <c r="O939" s="146"/>
      <c r="P939" s="144"/>
      <c r="Q939" s="147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  <c r="AC939" s="148"/>
      <c r="AD939" s="149"/>
      <c r="AE939" s="150"/>
      <c r="AF939" s="151"/>
      <c r="AG939" s="152"/>
      <c r="AH939" s="149"/>
    </row>
    <row r="940" customFormat="false" ht="12" hidden="false" customHeight="false" outlineLevel="0" collapsed="false">
      <c r="A940" s="134"/>
      <c r="B940" s="135"/>
      <c r="C940" s="143"/>
      <c r="D940" s="143"/>
      <c r="E940" s="143"/>
      <c r="F940" s="143"/>
      <c r="G940" s="143"/>
      <c r="H940" s="143"/>
      <c r="I940" s="143"/>
      <c r="J940" s="143"/>
      <c r="K940" s="143"/>
      <c r="L940" s="144"/>
      <c r="M940" s="143"/>
      <c r="N940" s="145"/>
      <c r="O940" s="146"/>
      <c r="P940" s="144"/>
      <c r="Q940" s="147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  <c r="AC940" s="148"/>
      <c r="AD940" s="149"/>
      <c r="AE940" s="150"/>
      <c r="AF940" s="151"/>
      <c r="AG940" s="152"/>
      <c r="AH940" s="149"/>
    </row>
    <row r="941" customFormat="false" ht="12" hidden="false" customHeight="false" outlineLevel="0" collapsed="false">
      <c r="A941" s="134"/>
      <c r="B941" s="135"/>
      <c r="C941" s="143"/>
      <c r="D941" s="143"/>
      <c r="E941" s="143"/>
      <c r="F941" s="143"/>
      <c r="G941" s="143"/>
      <c r="H941" s="143"/>
      <c r="I941" s="143"/>
      <c r="J941" s="143"/>
      <c r="K941" s="143"/>
      <c r="L941" s="144"/>
      <c r="M941" s="143"/>
      <c r="N941" s="145"/>
      <c r="O941" s="146"/>
      <c r="P941" s="144"/>
      <c r="Q941" s="147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  <c r="AC941" s="148"/>
      <c r="AD941" s="149"/>
      <c r="AE941" s="150"/>
      <c r="AF941" s="151"/>
      <c r="AG941" s="152"/>
      <c r="AH941" s="149"/>
    </row>
    <row r="942" customFormat="false" ht="12" hidden="false" customHeight="false" outlineLevel="0" collapsed="false">
      <c r="A942" s="134"/>
      <c r="B942" s="135"/>
      <c r="C942" s="143"/>
      <c r="D942" s="143"/>
      <c r="E942" s="143"/>
      <c r="F942" s="143"/>
      <c r="G942" s="143"/>
      <c r="H942" s="143"/>
      <c r="I942" s="143"/>
      <c r="J942" s="143"/>
      <c r="K942" s="143"/>
      <c r="L942" s="144"/>
      <c r="M942" s="143"/>
      <c r="N942" s="145"/>
      <c r="O942" s="146"/>
      <c r="P942" s="144"/>
      <c r="Q942" s="147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  <c r="AC942" s="148"/>
      <c r="AD942" s="149"/>
      <c r="AE942" s="150"/>
      <c r="AF942" s="151"/>
      <c r="AG942" s="152"/>
      <c r="AH942" s="149"/>
    </row>
    <row r="943" customFormat="false" ht="12" hidden="false" customHeight="false" outlineLevel="0" collapsed="false">
      <c r="A943" s="134"/>
      <c r="B943" s="135"/>
      <c r="C943" s="143"/>
      <c r="D943" s="143"/>
      <c r="E943" s="143"/>
      <c r="F943" s="143"/>
      <c r="G943" s="143"/>
      <c r="H943" s="143"/>
      <c r="I943" s="143"/>
      <c r="J943" s="143"/>
      <c r="K943" s="143"/>
      <c r="L943" s="144"/>
      <c r="M943" s="143"/>
      <c r="N943" s="145"/>
      <c r="O943" s="146"/>
      <c r="P943" s="144"/>
      <c r="Q943" s="147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  <c r="AC943" s="148"/>
      <c r="AD943" s="149"/>
      <c r="AE943" s="150"/>
      <c r="AF943" s="151"/>
      <c r="AG943" s="152"/>
      <c r="AH943" s="149"/>
    </row>
    <row r="944" customFormat="false" ht="12" hidden="false" customHeight="false" outlineLevel="0" collapsed="false">
      <c r="A944" s="134"/>
      <c r="B944" s="135"/>
      <c r="C944" s="143"/>
      <c r="D944" s="143"/>
      <c r="E944" s="143"/>
      <c r="F944" s="143"/>
      <c r="G944" s="143"/>
      <c r="H944" s="143"/>
      <c r="I944" s="143"/>
      <c r="J944" s="143"/>
      <c r="K944" s="143"/>
      <c r="L944" s="144"/>
      <c r="M944" s="143"/>
      <c r="N944" s="145"/>
      <c r="O944" s="146"/>
      <c r="P944" s="144"/>
      <c r="Q944" s="147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  <c r="AC944" s="148"/>
      <c r="AD944" s="149"/>
      <c r="AE944" s="150"/>
      <c r="AF944" s="151"/>
      <c r="AG944" s="152"/>
      <c r="AH944" s="149"/>
    </row>
    <row r="945" customFormat="false" ht="12" hidden="false" customHeight="false" outlineLevel="0" collapsed="false">
      <c r="A945" s="134"/>
      <c r="B945" s="135"/>
      <c r="C945" s="143"/>
      <c r="D945" s="143"/>
      <c r="E945" s="143"/>
      <c r="F945" s="143"/>
      <c r="G945" s="143"/>
      <c r="H945" s="143"/>
      <c r="I945" s="143"/>
      <c r="J945" s="143"/>
      <c r="K945" s="143"/>
      <c r="L945" s="144"/>
      <c r="M945" s="143"/>
      <c r="N945" s="145"/>
      <c r="O945" s="146"/>
      <c r="P945" s="144"/>
      <c r="Q945" s="147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  <c r="AC945" s="148"/>
      <c r="AD945" s="149"/>
      <c r="AE945" s="150"/>
      <c r="AF945" s="151"/>
      <c r="AG945" s="152"/>
      <c r="AH945" s="149"/>
    </row>
    <row r="946" customFormat="false" ht="12" hidden="false" customHeight="false" outlineLevel="0" collapsed="false">
      <c r="A946" s="134"/>
      <c r="B946" s="135"/>
      <c r="C946" s="143"/>
      <c r="D946" s="143"/>
      <c r="E946" s="143"/>
      <c r="F946" s="143"/>
      <c r="G946" s="143"/>
      <c r="H946" s="143"/>
      <c r="I946" s="143"/>
      <c r="J946" s="143"/>
      <c r="K946" s="143"/>
      <c r="L946" s="144"/>
      <c r="M946" s="143"/>
      <c r="N946" s="145"/>
      <c r="O946" s="146"/>
      <c r="P946" s="144"/>
      <c r="Q946" s="147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  <c r="AC946" s="148"/>
      <c r="AD946" s="149"/>
      <c r="AE946" s="150"/>
      <c r="AF946" s="151"/>
      <c r="AG946" s="152"/>
      <c r="AH946" s="149"/>
    </row>
    <row r="947" customFormat="false" ht="12" hidden="false" customHeight="false" outlineLevel="0" collapsed="false">
      <c r="A947" s="134"/>
      <c r="B947" s="135"/>
      <c r="C947" s="143"/>
      <c r="D947" s="143"/>
      <c r="E947" s="143"/>
      <c r="F947" s="143"/>
      <c r="G947" s="143"/>
      <c r="H947" s="143"/>
      <c r="I947" s="143"/>
      <c r="J947" s="143"/>
      <c r="K947" s="143"/>
      <c r="L947" s="144"/>
      <c r="M947" s="143"/>
      <c r="N947" s="145"/>
      <c r="O947" s="146"/>
      <c r="P947" s="144"/>
      <c r="Q947" s="147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  <c r="AC947" s="148"/>
      <c r="AD947" s="149"/>
      <c r="AE947" s="150"/>
      <c r="AF947" s="151"/>
      <c r="AG947" s="152"/>
      <c r="AH947" s="149"/>
    </row>
    <row r="948" customFormat="false" ht="12" hidden="false" customHeight="false" outlineLevel="0" collapsed="false">
      <c r="A948" s="134"/>
      <c r="B948" s="135"/>
      <c r="C948" s="143"/>
      <c r="D948" s="143"/>
      <c r="E948" s="143"/>
      <c r="F948" s="143"/>
      <c r="G948" s="143"/>
      <c r="H948" s="143"/>
      <c r="I948" s="143"/>
      <c r="J948" s="143"/>
      <c r="K948" s="143"/>
      <c r="L948" s="144"/>
      <c r="M948" s="143"/>
      <c r="N948" s="145"/>
      <c r="O948" s="146"/>
      <c r="P948" s="144"/>
      <c r="Q948" s="147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  <c r="AC948" s="148"/>
      <c r="AD948" s="149"/>
      <c r="AE948" s="150"/>
      <c r="AF948" s="151"/>
      <c r="AG948" s="152"/>
      <c r="AH948" s="149"/>
    </row>
    <row r="949" customFormat="false" ht="12" hidden="false" customHeight="false" outlineLevel="0" collapsed="false">
      <c r="A949" s="134"/>
      <c r="B949" s="135"/>
      <c r="C949" s="143"/>
      <c r="D949" s="143"/>
      <c r="E949" s="143"/>
      <c r="F949" s="143"/>
      <c r="G949" s="143"/>
      <c r="H949" s="143"/>
      <c r="I949" s="143"/>
      <c r="J949" s="143"/>
      <c r="K949" s="143"/>
      <c r="L949" s="144"/>
      <c r="M949" s="143"/>
      <c r="N949" s="145"/>
      <c r="O949" s="146"/>
      <c r="P949" s="144"/>
      <c r="Q949" s="147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  <c r="AC949" s="148"/>
      <c r="AD949" s="149"/>
      <c r="AE949" s="150"/>
      <c r="AF949" s="151"/>
      <c r="AG949" s="152"/>
      <c r="AH949" s="149"/>
    </row>
    <row r="950" customFormat="false" ht="12" hidden="false" customHeight="false" outlineLevel="0" collapsed="false">
      <c r="A950" s="134"/>
      <c r="B950" s="135"/>
      <c r="C950" s="143"/>
      <c r="D950" s="143"/>
      <c r="E950" s="143"/>
      <c r="F950" s="143"/>
      <c r="G950" s="143"/>
      <c r="H950" s="143"/>
      <c r="I950" s="143"/>
      <c r="J950" s="143"/>
      <c r="K950" s="143"/>
      <c r="L950" s="144"/>
      <c r="M950" s="143"/>
      <c r="N950" s="145"/>
      <c r="O950" s="146"/>
      <c r="P950" s="144"/>
      <c r="Q950" s="147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  <c r="AC950" s="148"/>
      <c r="AD950" s="149"/>
      <c r="AE950" s="150"/>
      <c r="AF950" s="151"/>
      <c r="AG950" s="152"/>
      <c r="AH950" s="149"/>
    </row>
    <row r="951" customFormat="false" ht="12" hidden="false" customHeight="false" outlineLevel="0" collapsed="false">
      <c r="A951" s="134"/>
      <c r="B951" s="135"/>
      <c r="C951" s="143"/>
      <c r="D951" s="143"/>
      <c r="E951" s="143"/>
      <c r="F951" s="143"/>
      <c r="G951" s="143"/>
      <c r="H951" s="143"/>
      <c r="I951" s="143"/>
      <c r="J951" s="143"/>
      <c r="K951" s="143"/>
      <c r="L951" s="144"/>
      <c r="M951" s="143"/>
      <c r="N951" s="145"/>
      <c r="O951" s="146"/>
      <c r="P951" s="144"/>
      <c r="Q951" s="147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  <c r="AC951" s="148"/>
      <c r="AD951" s="149"/>
      <c r="AE951" s="150"/>
      <c r="AF951" s="151"/>
      <c r="AG951" s="152"/>
      <c r="AH951" s="149"/>
    </row>
    <row r="952" customFormat="false" ht="12" hidden="false" customHeight="false" outlineLevel="0" collapsed="false">
      <c r="A952" s="134"/>
      <c r="B952" s="135"/>
      <c r="C952" s="143"/>
      <c r="D952" s="143"/>
      <c r="E952" s="143"/>
      <c r="F952" s="143"/>
      <c r="G952" s="143"/>
      <c r="H952" s="143"/>
      <c r="I952" s="143"/>
      <c r="J952" s="143"/>
      <c r="K952" s="143"/>
      <c r="L952" s="144"/>
      <c r="M952" s="143"/>
      <c r="N952" s="145"/>
      <c r="O952" s="146"/>
      <c r="P952" s="144"/>
      <c r="Q952" s="147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  <c r="AC952" s="148"/>
      <c r="AD952" s="149"/>
      <c r="AE952" s="150"/>
      <c r="AF952" s="151"/>
      <c r="AG952" s="152"/>
      <c r="AH952" s="149"/>
    </row>
    <row r="953" customFormat="false" ht="12" hidden="false" customHeight="false" outlineLevel="0" collapsed="false">
      <c r="A953" s="134"/>
      <c r="B953" s="135"/>
      <c r="C953" s="143"/>
      <c r="D953" s="143"/>
      <c r="E953" s="143"/>
      <c r="F953" s="143"/>
      <c r="G953" s="143"/>
      <c r="H953" s="143"/>
      <c r="I953" s="143"/>
      <c r="J953" s="143"/>
      <c r="K953" s="143"/>
      <c r="L953" s="144"/>
      <c r="M953" s="143"/>
      <c r="N953" s="145"/>
      <c r="O953" s="146"/>
      <c r="P953" s="144"/>
      <c r="Q953" s="147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  <c r="AC953" s="148"/>
      <c r="AD953" s="149"/>
      <c r="AE953" s="150"/>
      <c r="AF953" s="151"/>
      <c r="AG953" s="152"/>
      <c r="AH953" s="149"/>
    </row>
    <row r="954" customFormat="false" ht="12" hidden="false" customHeight="false" outlineLevel="0" collapsed="false">
      <c r="A954" s="134"/>
      <c r="B954" s="135"/>
      <c r="C954" s="143"/>
      <c r="D954" s="143"/>
      <c r="E954" s="143"/>
      <c r="F954" s="143"/>
      <c r="G954" s="143"/>
      <c r="H954" s="143"/>
      <c r="I954" s="143"/>
      <c r="J954" s="143"/>
      <c r="K954" s="143"/>
      <c r="L954" s="144"/>
      <c r="M954" s="143"/>
      <c r="N954" s="145"/>
      <c r="O954" s="146"/>
      <c r="P954" s="144"/>
      <c r="Q954" s="147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  <c r="AC954" s="148"/>
      <c r="AD954" s="149"/>
      <c r="AE954" s="150"/>
      <c r="AF954" s="151"/>
      <c r="AG954" s="152"/>
      <c r="AH954" s="149"/>
    </row>
    <row r="955" customFormat="false" ht="12" hidden="false" customHeight="false" outlineLevel="0" collapsed="false">
      <c r="A955" s="134"/>
      <c r="B955" s="135"/>
      <c r="C955" s="143"/>
      <c r="D955" s="143"/>
      <c r="E955" s="143"/>
      <c r="F955" s="143"/>
      <c r="G955" s="143"/>
      <c r="H955" s="143"/>
      <c r="I955" s="143"/>
      <c r="J955" s="143"/>
      <c r="K955" s="143"/>
      <c r="L955" s="144"/>
      <c r="M955" s="143"/>
      <c r="N955" s="145"/>
      <c r="O955" s="146"/>
      <c r="P955" s="144"/>
      <c r="Q955" s="147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  <c r="AC955" s="148"/>
      <c r="AD955" s="149"/>
      <c r="AE955" s="150"/>
      <c r="AF955" s="151"/>
      <c r="AG955" s="152"/>
      <c r="AH955" s="149"/>
    </row>
    <row r="956" customFormat="false" ht="12" hidden="false" customHeight="false" outlineLevel="0" collapsed="false">
      <c r="A956" s="134"/>
      <c r="B956" s="135"/>
      <c r="C956" s="143"/>
      <c r="D956" s="143"/>
      <c r="E956" s="143"/>
      <c r="F956" s="143"/>
      <c r="G956" s="143"/>
      <c r="H956" s="143"/>
      <c r="I956" s="143"/>
      <c r="J956" s="143"/>
      <c r="K956" s="143"/>
      <c r="L956" s="144"/>
      <c r="M956" s="143"/>
      <c r="N956" s="145"/>
      <c r="O956" s="146"/>
      <c r="P956" s="144"/>
      <c r="Q956" s="147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  <c r="AC956" s="148"/>
      <c r="AD956" s="149"/>
      <c r="AE956" s="150"/>
      <c r="AF956" s="151"/>
      <c r="AG956" s="152"/>
      <c r="AH956" s="149"/>
    </row>
    <row r="957" customFormat="false" ht="12" hidden="false" customHeight="false" outlineLevel="0" collapsed="false">
      <c r="A957" s="134"/>
      <c r="B957" s="135"/>
      <c r="C957" s="143"/>
      <c r="D957" s="143"/>
      <c r="E957" s="143"/>
      <c r="F957" s="143"/>
      <c r="G957" s="143"/>
      <c r="H957" s="143"/>
      <c r="I957" s="143"/>
      <c r="J957" s="143"/>
      <c r="K957" s="143"/>
      <c r="L957" s="144"/>
      <c r="M957" s="143"/>
      <c r="N957" s="145"/>
      <c r="O957" s="146"/>
      <c r="P957" s="144"/>
      <c r="Q957" s="147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  <c r="AC957" s="148"/>
      <c r="AD957" s="149"/>
      <c r="AE957" s="150"/>
      <c r="AF957" s="151"/>
      <c r="AG957" s="152"/>
      <c r="AH957" s="149"/>
    </row>
    <row r="958" customFormat="false" ht="12" hidden="false" customHeight="false" outlineLevel="0" collapsed="false">
      <c r="A958" s="134"/>
      <c r="B958" s="135"/>
      <c r="C958" s="143"/>
      <c r="D958" s="143"/>
      <c r="E958" s="143"/>
      <c r="F958" s="143"/>
      <c r="G958" s="143"/>
      <c r="H958" s="143"/>
      <c r="I958" s="143"/>
      <c r="J958" s="143"/>
      <c r="K958" s="143"/>
      <c r="L958" s="144"/>
      <c r="M958" s="143"/>
      <c r="N958" s="145"/>
      <c r="O958" s="146"/>
      <c r="P958" s="144"/>
      <c r="Q958" s="147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  <c r="AC958" s="148"/>
      <c r="AD958" s="149"/>
      <c r="AE958" s="150"/>
      <c r="AF958" s="151"/>
      <c r="AG958" s="152"/>
      <c r="AH958" s="149"/>
    </row>
    <row r="959" customFormat="false" ht="12" hidden="false" customHeight="false" outlineLevel="0" collapsed="false">
      <c r="A959" s="134"/>
      <c r="B959" s="135"/>
      <c r="C959" s="143"/>
      <c r="D959" s="143"/>
      <c r="E959" s="143"/>
      <c r="F959" s="143"/>
      <c r="G959" s="143"/>
      <c r="H959" s="143"/>
      <c r="I959" s="143"/>
      <c r="J959" s="143"/>
      <c r="K959" s="143"/>
      <c r="L959" s="144"/>
      <c r="M959" s="143"/>
      <c r="N959" s="145"/>
      <c r="O959" s="146"/>
      <c r="P959" s="144"/>
      <c r="Q959" s="147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  <c r="AC959" s="148"/>
      <c r="AD959" s="149"/>
      <c r="AE959" s="150"/>
      <c r="AF959" s="151"/>
      <c r="AG959" s="152"/>
      <c r="AH959" s="149"/>
    </row>
    <row r="960" customFormat="false" ht="12" hidden="false" customHeight="false" outlineLevel="0" collapsed="false">
      <c r="A960" s="134"/>
      <c r="B960" s="135"/>
      <c r="C960" s="143"/>
      <c r="D960" s="143"/>
      <c r="E960" s="143"/>
      <c r="F960" s="143"/>
      <c r="G960" s="143"/>
      <c r="H960" s="143"/>
      <c r="I960" s="143"/>
      <c r="J960" s="143"/>
      <c r="K960" s="143"/>
      <c r="L960" s="144"/>
      <c r="M960" s="143"/>
      <c r="N960" s="145"/>
      <c r="O960" s="146"/>
      <c r="P960" s="144"/>
      <c r="Q960" s="147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  <c r="AC960" s="148"/>
      <c r="AD960" s="149"/>
      <c r="AE960" s="150"/>
      <c r="AF960" s="151"/>
      <c r="AG960" s="152"/>
      <c r="AH960" s="149"/>
    </row>
    <row r="961" customFormat="false" ht="12" hidden="false" customHeight="false" outlineLevel="0" collapsed="false">
      <c r="A961" s="134"/>
      <c r="B961" s="135"/>
      <c r="C961" s="143"/>
      <c r="D961" s="143"/>
      <c r="E961" s="143"/>
      <c r="F961" s="143"/>
      <c r="G961" s="143"/>
      <c r="H961" s="143"/>
      <c r="I961" s="143"/>
      <c r="J961" s="143"/>
      <c r="K961" s="143"/>
      <c r="L961" s="144"/>
      <c r="M961" s="143"/>
      <c r="N961" s="145"/>
      <c r="O961" s="146"/>
      <c r="P961" s="144"/>
      <c r="Q961" s="147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  <c r="AC961" s="148"/>
      <c r="AD961" s="149"/>
      <c r="AE961" s="150"/>
      <c r="AF961" s="151"/>
      <c r="AG961" s="152"/>
      <c r="AH961" s="149"/>
    </row>
    <row r="962" customFormat="false" ht="12" hidden="false" customHeight="false" outlineLevel="0" collapsed="false">
      <c r="A962" s="134"/>
      <c r="B962" s="135"/>
      <c r="C962" s="143"/>
      <c r="D962" s="143"/>
      <c r="E962" s="143"/>
      <c r="F962" s="143"/>
      <c r="G962" s="143"/>
      <c r="H962" s="143"/>
      <c r="I962" s="143"/>
      <c r="J962" s="143"/>
      <c r="K962" s="143"/>
      <c r="L962" s="144"/>
      <c r="M962" s="143"/>
      <c r="N962" s="145"/>
      <c r="O962" s="146"/>
      <c r="P962" s="144"/>
      <c r="Q962" s="147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  <c r="AC962" s="148"/>
      <c r="AD962" s="149"/>
      <c r="AE962" s="150"/>
      <c r="AF962" s="151"/>
      <c r="AG962" s="152"/>
      <c r="AH962" s="149"/>
    </row>
    <row r="963" customFormat="false" ht="12" hidden="false" customHeight="false" outlineLevel="0" collapsed="false">
      <c r="A963" s="134"/>
      <c r="B963" s="135"/>
      <c r="C963" s="143"/>
      <c r="D963" s="143"/>
      <c r="E963" s="143"/>
      <c r="F963" s="143"/>
      <c r="G963" s="143"/>
      <c r="H963" s="143"/>
      <c r="I963" s="143"/>
      <c r="J963" s="143"/>
      <c r="K963" s="143"/>
      <c r="L963" s="144"/>
      <c r="M963" s="143"/>
      <c r="N963" s="145"/>
      <c r="O963" s="146"/>
      <c r="P963" s="144"/>
      <c r="Q963" s="147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  <c r="AC963" s="148"/>
      <c r="AD963" s="149"/>
      <c r="AE963" s="150"/>
      <c r="AF963" s="151"/>
      <c r="AG963" s="152"/>
      <c r="AH963" s="149"/>
    </row>
    <row r="964" customFormat="false" ht="12" hidden="false" customHeight="false" outlineLevel="0" collapsed="false">
      <c r="A964" s="134"/>
      <c r="B964" s="135"/>
      <c r="C964" s="143"/>
      <c r="D964" s="143"/>
      <c r="E964" s="143"/>
      <c r="F964" s="143"/>
      <c r="G964" s="143"/>
      <c r="H964" s="143"/>
      <c r="I964" s="143"/>
      <c r="J964" s="143"/>
      <c r="K964" s="143"/>
      <c r="L964" s="144"/>
      <c r="M964" s="143"/>
      <c r="N964" s="145"/>
      <c r="O964" s="146"/>
      <c r="P964" s="144"/>
      <c r="Q964" s="147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  <c r="AC964" s="148"/>
      <c r="AD964" s="149"/>
      <c r="AE964" s="150"/>
      <c r="AF964" s="151"/>
      <c r="AG964" s="152"/>
      <c r="AH964" s="149"/>
    </row>
    <row r="965" customFormat="false" ht="12" hidden="false" customHeight="false" outlineLevel="0" collapsed="false">
      <c r="A965" s="134"/>
      <c r="B965" s="135"/>
      <c r="C965" s="143"/>
      <c r="D965" s="143"/>
      <c r="E965" s="143"/>
      <c r="F965" s="143"/>
      <c r="G965" s="143"/>
      <c r="H965" s="143"/>
      <c r="I965" s="143"/>
      <c r="J965" s="143"/>
      <c r="K965" s="143"/>
      <c r="L965" s="144"/>
      <c r="M965" s="143"/>
      <c r="N965" s="145"/>
      <c r="O965" s="146"/>
      <c r="P965" s="144"/>
      <c r="Q965" s="147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  <c r="AC965" s="148"/>
      <c r="AD965" s="149"/>
      <c r="AE965" s="150"/>
      <c r="AF965" s="151"/>
      <c r="AG965" s="152"/>
      <c r="AH965" s="149"/>
    </row>
    <row r="966" customFormat="false" ht="12" hidden="false" customHeight="false" outlineLevel="0" collapsed="false">
      <c r="A966" s="134"/>
      <c r="B966" s="135"/>
      <c r="C966" s="143"/>
      <c r="D966" s="143"/>
      <c r="E966" s="143"/>
      <c r="F966" s="143"/>
      <c r="G966" s="143"/>
      <c r="H966" s="143"/>
      <c r="I966" s="143"/>
      <c r="J966" s="143"/>
      <c r="K966" s="143"/>
      <c r="L966" s="144"/>
      <c r="M966" s="143"/>
      <c r="N966" s="145"/>
      <c r="O966" s="146"/>
      <c r="P966" s="144"/>
      <c r="Q966" s="147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  <c r="AC966" s="148"/>
      <c r="AD966" s="149"/>
      <c r="AE966" s="150"/>
      <c r="AF966" s="151"/>
      <c r="AG966" s="152"/>
      <c r="AH966" s="149"/>
    </row>
    <row r="967" customFormat="false" ht="12" hidden="false" customHeight="false" outlineLevel="0" collapsed="false">
      <c r="A967" s="134"/>
      <c r="B967" s="135"/>
      <c r="C967" s="143"/>
      <c r="D967" s="143"/>
      <c r="E967" s="143"/>
      <c r="F967" s="143"/>
      <c r="G967" s="143"/>
      <c r="H967" s="143"/>
      <c r="I967" s="143"/>
      <c r="J967" s="143"/>
      <c r="K967" s="143"/>
      <c r="L967" s="144"/>
      <c r="M967" s="143"/>
      <c r="N967" s="145"/>
      <c r="O967" s="146"/>
      <c r="P967" s="144"/>
      <c r="Q967" s="147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  <c r="AC967" s="148"/>
      <c r="AD967" s="149"/>
      <c r="AE967" s="150"/>
      <c r="AF967" s="151"/>
      <c r="AG967" s="152"/>
      <c r="AH967" s="149"/>
    </row>
    <row r="968" customFormat="false" ht="12" hidden="false" customHeight="false" outlineLevel="0" collapsed="false">
      <c r="A968" s="134"/>
      <c r="B968" s="135"/>
      <c r="C968" s="143"/>
      <c r="D968" s="143"/>
      <c r="E968" s="143"/>
      <c r="F968" s="143"/>
      <c r="G968" s="143"/>
      <c r="H968" s="143"/>
      <c r="I968" s="143"/>
      <c r="J968" s="143"/>
      <c r="K968" s="143"/>
      <c r="L968" s="144"/>
      <c r="M968" s="143"/>
      <c r="N968" s="145"/>
      <c r="O968" s="146"/>
      <c r="P968" s="144"/>
      <c r="Q968" s="147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  <c r="AC968" s="148"/>
      <c r="AD968" s="149"/>
      <c r="AE968" s="150"/>
      <c r="AF968" s="151"/>
      <c r="AG968" s="152"/>
      <c r="AH968" s="149"/>
    </row>
    <row r="969" customFormat="false" ht="12" hidden="false" customHeight="false" outlineLevel="0" collapsed="false">
      <c r="A969" s="134"/>
      <c r="B969" s="135"/>
      <c r="C969" s="143"/>
      <c r="D969" s="143"/>
      <c r="E969" s="143"/>
      <c r="F969" s="143"/>
      <c r="G969" s="143"/>
      <c r="H969" s="143"/>
      <c r="I969" s="143"/>
      <c r="J969" s="143"/>
      <c r="K969" s="143"/>
      <c r="L969" s="144"/>
      <c r="M969" s="143"/>
      <c r="N969" s="145"/>
      <c r="O969" s="146"/>
      <c r="P969" s="144"/>
      <c r="Q969" s="147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  <c r="AC969" s="148"/>
      <c r="AD969" s="149"/>
      <c r="AE969" s="150"/>
      <c r="AF969" s="151"/>
      <c r="AG969" s="152"/>
      <c r="AH969" s="149"/>
    </row>
    <row r="970" customFormat="false" ht="12" hidden="false" customHeight="false" outlineLevel="0" collapsed="false">
      <c r="A970" s="134"/>
      <c r="B970" s="135"/>
      <c r="C970" s="143"/>
      <c r="D970" s="143"/>
      <c r="E970" s="143"/>
      <c r="F970" s="143"/>
      <c r="G970" s="143"/>
      <c r="H970" s="143"/>
      <c r="I970" s="143"/>
      <c r="J970" s="143"/>
      <c r="K970" s="143"/>
      <c r="L970" s="144"/>
      <c r="M970" s="143"/>
      <c r="N970" s="145"/>
      <c r="O970" s="146"/>
      <c r="P970" s="144"/>
      <c r="Q970" s="147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  <c r="AC970" s="148"/>
      <c r="AD970" s="149"/>
      <c r="AE970" s="150"/>
      <c r="AF970" s="151"/>
      <c r="AG970" s="152"/>
      <c r="AH970" s="149"/>
    </row>
    <row r="971" customFormat="false" ht="12" hidden="false" customHeight="false" outlineLevel="0" collapsed="false">
      <c r="A971" s="134"/>
      <c r="B971" s="135"/>
      <c r="C971" s="143"/>
      <c r="D971" s="143"/>
      <c r="E971" s="143"/>
      <c r="F971" s="143"/>
      <c r="G971" s="143"/>
      <c r="H971" s="143"/>
      <c r="I971" s="143"/>
      <c r="J971" s="143"/>
      <c r="K971" s="143"/>
      <c r="L971" s="144"/>
      <c r="M971" s="143"/>
      <c r="N971" s="145"/>
      <c r="O971" s="146"/>
      <c r="P971" s="144"/>
      <c r="Q971" s="147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  <c r="AC971" s="148"/>
      <c r="AD971" s="149"/>
      <c r="AE971" s="150"/>
      <c r="AF971" s="151"/>
      <c r="AG971" s="152"/>
      <c r="AH971" s="149"/>
    </row>
    <row r="972" customFormat="false" ht="12" hidden="false" customHeight="false" outlineLevel="0" collapsed="false">
      <c r="A972" s="134"/>
      <c r="B972" s="135"/>
      <c r="C972" s="143"/>
      <c r="D972" s="143"/>
      <c r="E972" s="143"/>
      <c r="F972" s="143"/>
      <c r="G972" s="143"/>
      <c r="H972" s="143"/>
      <c r="I972" s="143"/>
      <c r="J972" s="143"/>
      <c r="K972" s="143"/>
      <c r="L972" s="144"/>
      <c r="M972" s="143"/>
      <c r="N972" s="145"/>
      <c r="O972" s="146"/>
      <c r="P972" s="144"/>
      <c r="Q972" s="147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  <c r="AC972" s="148"/>
      <c r="AD972" s="149"/>
      <c r="AE972" s="150"/>
      <c r="AF972" s="151"/>
      <c r="AG972" s="152"/>
      <c r="AH972" s="149"/>
    </row>
    <row r="973" customFormat="false" ht="12" hidden="false" customHeight="false" outlineLevel="0" collapsed="false">
      <c r="A973" s="134"/>
      <c r="B973" s="135"/>
      <c r="C973" s="143"/>
      <c r="D973" s="143"/>
      <c r="E973" s="143"/>
      <c r="F973" s="143"/>
      <c r="G973" s="143"/>
      <c r="H973" s="143"/>
      <c r="I973" s="143"/>
      <c r="J973" s="143"/>
      <c r="K973" s="143"/>
      <c r="L973" s="144"/>
      <c r="M973" s="143"/>
      <c r="N973" s="145"/>
      <c r="O973" s="146"/>
      <c r="P973" s="144"/>
      <c r="Q973" s="147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  <c r="AC973" s="148"/>
      <c r="AD973" s="149"/>
      <c r="AE973" s="150"/>
      <c r="AF973" s="151"/>
      <c r="AG973" s="152"/>
      <c r="AH973" s="149"/>
    </row>
    <row r="974" customFormat="false" ht="12" hidden="false" customHeight="false" outlineLevel="0" collapsed="false">
      <c r="A974" s="134"/>
      <c r="B974" s="135"/>
      <c r="C974" s="143"/>
      <c r="D974" s="143"/>
      <c r="E974" s="143"/>
      <c r="F974" s="143"/>
      <c r="G974" s="143"/>
      <c r="H974" s="143"/>
      <c r="I974" s="143"/>
      <c r="J974" s="143"/>
      <c r="K974" s="143"/>
      <c r="L974" s="144"/>
      <c r="M974" s="143"/>
      <c r="N974" s="145"/>
      <c r="O974" s="146"/>
      <c r="P974" s="144"/>
      <c r="Q974" s="147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  <c r="AC974" s="148"/>
      <c r="AD974" s="149"/>
      <c r="AE974" s="150"/>
      <c r="AF974" s="151"/>
      <c r="AG974" s="152"/>
      <c r="AH974" s="149"/>
    </row>
    <row r="975" customFormat="false" ht="12" hidden="false" customHeight="false" outlineLevel="0" collapsed="false">
      <c r="A975" s="134"/>
      <c r="B975" s="135"/>
      <c r="C975" s="143"/>
      <c r="D975" s="143"/>
      <c r="E975" s="143"/>
      <c r="F975" s="143"/>
      <c r="G975" s="143"/>
      <c r="H975" s="143"/>
      <c r="I975" s="143"/>
      <c r="J975" s="143"/>
      <c r="K975" s="143"/>
      <c r="L975" s="144"/>
      <c r="M975" s="143"/>
      <c r="N975" s="145"/>
      <c r="O975" s="146"/>
      <c r="P975" s="144"/>
      <c r="Q975" s="147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  <c r="AC975" s="148"/>
      <c r="AD975" s="149"/>
      <c r="AE975" s="150"/>
      <c r="AF975" s="151"/>
      <c r="AG975" s="152"/>
      <c r="AH975" s="149"/>
    </row>
    <row r="976" customFormat="false" ht="12" hidden="false" customHeight="false" outlineLevel="0" collapsed="false">
      <c r="A976" s="134"/>
      <c r="B976" s="135"/>
      <c r="C976" s="143"/>
      <c r="D976" s="143"/>
      <c r="E976" s="143"/>
      <c r="F976" s="143"/>
      <c r="G976" s="143"/>
      <c r="H976" s="143"/>
      <c r="I976" s="143"/>
      <c r="J976" s="143"/>
      <c r="K976" s="143"/>
      <c r="L976" s="144"/>
      <c r="M976" s="143"/>
      <c r="N976" s="145"/>
      <c r="O976" s="146"/>
      <c r="P976" s="144"/>
      <c r="Q976" s="147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  <c r="AC976" s="148"/>
      <c r="AD976" s="149"/>
      <c r="AE976" s="150"/>
      <c r="AF976" s="151"/>
      <c r="AG976" s="152"/>
      <c r="AH976" s="149"/>
    </row>
    <row r="977" customFormat="false" ht="12" hidden="false" customHeight="false" outlineLevel="0" collapsed="false">
      <c r="A977" s="134"/>
      <c r="B977" s="135"/>
      <c r="C977" s="143"/>
      <c r="D977" s="143"/>
      <c r="E977" s="143"/>
      <c r="F977" s="143"/>
      <c r="G977" s="143"/>
      <c r="H977" s="143"/>
      <c r="I977" s="143"/>
      <c r="J977" s="143"/>
      <c r="K977" s="143"/>
      <c r="L977" s="144"/>
      <c r="M977" s="143"/>
      <c r="N977" s="145"/>
      <c r="O977" s="146"/>
      <c r="P977" s="144"/>
      <c r="Q977" s="147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  <c r="AC977" s="148"/>
      <c r="AD977" s="149"/>
      <c r="AE977" s="150"/>
      <c r="AF977" s="151"/>
      <c r="AG977" s="152"/>
      <c r="AH977" s="149"/>
    </row>
    <row r="978" customFormat="false" ht="12" hidden="false" customHeight="false" outlineLevel="0" collapsed="false">
      <c r="A978" s="134"/>
      <c r="B978" s="135"/>
      <c r="C978" s="143"/>
      <c r="D978" s="143"/>
      <c r="E978" s="143"/>
      <c r="F978" s="143"/>
      <c r="G978" s="143"/>
      <c r="H978" s="143"/>
      <c r="I978" s="143"/>
      <c r="J978" s="143"/>
      <c r="K978" s="143"/>
      <c r="L978" s="144"/>
      <c r="M978" s="143"/>
      <c r="N978" s="145"/>
      <c r="O978" s="146"/>
      <c r="P978" s="144"/>
      <c r="Q978" s="147"/>
      <c r="R978" s="148"/>
      <c r="S978" s="148"/>
      <c r="T978" s="148"/>
      <c r="U978" s="148"/>
      <c r="V978" s="148"/>
      <c r="W978" s="148"/>
      <c r="X978" s="148"/>
      <c r="Y978" s="148"/>
      <c r="Z978" s="148"/>
      <c r="AA978" s="148"/>
      <c r="AB978" s="148"/>
      <c r="AC978" s="148"/>
      <c r="AD978" s="149"/>
      <c r="AE978" s="150"/>
      <c r="AF978" s="151"/>
      <c r="AG978" s="152"/>
      <c r="AH978" s="149"/>
    </row>
    <row r="979" customFormat="false" ht="12" hidden="false" customHeight="false" outlineLevel="0" collapsed="false">
      <c r="A979" s="134"/>
      <c r="B979" s="135"/>
      <c r="C979" s="143"/>
      <c r="D979" s="143"/>
      <c r="E979" s="143"/>
      <c r="F979" s="143"/>
      <c r="G979" s="143"/>
      <c r="H979" s="143"/>
      <c r="I979" s="143"/>
      <c r="J979" s="143"/>
      <c r="K979" s="143"/>
      <c r="L979" s="144"/>
      <c r="M979" s="143"/>
      <c r="N979" s="145"/>
      <c r="O979" s="146"/>
      <c r="P979" s="144"/>
      <c r="Q979" s="147"/>
      <c r="R979" s="148"/>
      <c r="S979" s="148"/>
      <c r="T979" s="148"/>
      <c r="U979" s="148"/>
      <c r="V979" s="148"/>
      <c r="W979" s="148"/>
      <c r="X979" s="148"/>
      <c r="Y979" s="148"/>
      <c r="Z979" s="148"/>
      <c r="AA979" s="148"/>
      <c r="AB979" s="148"/>
      <c r="AC979" s="148"/>
      <c r="AD979" s="149"/>
      <c r="AE979" s="150"/>
      <c r="AF979" s="151"/>
      <c r="AG979" s="152"/>
      <c r="AH979" s="149"/>
    </row>
    <row r="980" customFormat="false" ht="12" hidden="false" customHeight="false" outlineLevel="0" collapsed="false">
      <c r="A980" s="134"/>
      <c r="B980" s="135"/>
      <c r="C980" s="143"/>
      <c r="D980" s="143"/>
      <c r="E980" s="143"/>
      <c r="F980" s="143"/>
      <c r="G980" s="143"/>
      <c r="H980" s="143"/>
      <c r="I980" s="143"/>
      <c r="J980" s="143"/>
      <c r="K980" s="143"/>
      <c r="L980" s="144"/>
      <c r="M980" s="143"/>
      <c r="N980" s="145"/>
      <c r="O980" s="146"/>
      <c r="P980" s="144"/>
      <c r="Q980" s="147"/>
      <c r="R980" s="148"/>
      <c r="S980" s="148"/>
      <c r="T980" s="148"/>
      <c r="U980" s="148"/>
      <c r="V980" s="148"/>
      <c r="W980" s="148"/>
      <c r="X980" s="148"/>
      <c r="Y980" s="148"/>
      <c r="Z980" s="148"/>
      <c r="AA980" s="148"/>
      <c r="AB980" s="148"/>
      <c r="AC980" s="148"/>
      <c r="AD980" s="149"/>
      <c r="AE980" s="150"/>
      <c r="AF980" s="151"/>
      <c r="AG980" s="152"/>
      <c r="AH980" s="149"/>
    </row>
    <row r="981" customFormat="false" ht="12" hidden="false" customHeight="false" outlineLevel="0" collapsed="false">
      <c r="A981" s="134"/>
      <c r="B981" s="135"/>
      <c r="C981" s="143"/>
      <c r="D981" s="143"/>
      <c r="E981" s="143"/>
      <c r="F981" s="143"/>
      <c r="G981" s="143"/>
      <c r="H981" s="143"/>
      <c r="I981" s="143"/>
      <c r="J981" s="143"/>
      <c r="K981" s="143"/>
      <c r="L981" s="144"/>
      <c r="M981" s="143"/>
      <c r="N981" s="145"/>
      <c r="O981" s="146"/>
      <c r="P981" s="144"/>
      <c r="Q981" s="147"/>
      <c r="R981" s="148"/>
      <c r="S981" s="148"/>
      <c r="T981" s="148"/>
      <c r="U981" s="148"/>
      <c r="V981" s="148"/>
      <c r="W981" s="148"/>
      <c r="X981" s="148"/>
      <c r="Y981" s="148"/>
      <c r="Z981" s="148"/>
      <c r="AA981" s="148"/>
      <c r="AB981" s="148"/>
      <c r="AC981" s="148"/>
      <c r="AD981" s="149"/>
      <c r="AE981" s="150"/>
      <c r="AF981" s="151"/>
      <c r="AG981" s="152"/>
      <c r="AH981" s="149"/>
    </row>
    <row r="982" customFormat="false" ht="12" hidden="false" customHeight="false" outlineLevel="0" collapsed="false">
      <c r="A982" s="134"/>
      <c r="B982" s="135"/>
      <c r="C982" s="143"/>
      <c r="D982" s="143"/>
      <c r="E982" s="143"/>
      <c r="F982" s="143"/>
      <c r="G982" s="143"/>
      <c r="H982" s="143"/>
      <c r="I982" s="143"/>
      <c r="J982" s="143"/>
      <c r="K982" s="143"/>
      <c r="L982" s="144"/>
      <c r="M982" s="143"/>
      <c r="N982" s="145"/>
      <c r="O982" s="146"/>
      <c r="P982" s="144"/>
      <c r="Q982" s="147"/>
      <c r="R982" s="148"/>
      <c r="S982" s="148"/>
      <c r="T982" s="148"/>
      <c r="U982" s="148"/>
      <c r="V982" s="148"/>
      <c r="W982" s="148"/>
      <c r="X982" s="148"/>
      <c r="Y982" s="148"/>
      <c r="Z982" s="148"/>
      <c r="AA982" s="148"/>
      <c r="AB982" s="148"/>
      <c r="AC982" s="148"/>
      <c r="AD982" s="149"/>
      <c r="AE982" s="150"/>
      <c r="AF982" s="151"/>
      <c r="AG982" s="152"/>
      <c r="AH982" s="149"/>
    </row>
    <row r="983" customFormat="false" ht="12" hidden="false" customHeight="false" outlineLevel="0" collapsed="false">
      <c r="A983" s="134"/>
      <c r="B983" s="135"/>
      <c r="C983" s="143"/>
      <c r="D983" s="143"/>
      <c r="E983" s="143"/>
      <c r="F983" s="143"/>
      <c r="G983" s="143"/>
      <c r="H983" s="143"/>
      <c r="I983" s="143"/>
      <c r="J983" s="143"/>
      <c r="K983" s="143"/>
      <c r="L983" s="144"/>
      <c r="M983" s="143"/>
      <c r="N983" s="145"/>
      <c r="O983" s="146"/>
      <c r="P983" s="144"/>
      <c r="Q983" s="147"/>
      <c r="R983" s="148"/>
      <c r="S983" s="148"/>
      <c r="T983" s="148"/>
      <c r="U983" s="148"/>
      <c r="V983" s="148"/>
      <c r="W983" s="148"/>
      <c r="X983" s="148"/>
      <c r="Y983" s="148"/>
      <c r="Z983" s="148"/>
      <c r="AA983" s="148"/>
      <c r="AB983" s="148"/>
      <c r="AC983" s="148"/>
      <c r="AD983" s="149"/>
      <c r="AE983" s="150"/>
      <c r="AF983" s="151"/>
      <c r="AG983" s="152"/>
      <c r="AH983" s="149"/>
    </row>
    <row r="984" customFormat="false" ht="12" hidden="false" customHeight="false" outlineLevel="0" collapsed="false">
      <c r="A984" s="134"/>
      <c r="B984" s="135"/>
      <c r="C984" s="143"/>
      <c r="D984" s="143"/>
      <c r="E984" s="143"/>
      <c r="F984" s="143"/>
      <c r="G984" s="143"/>
      <c r="H984" s="143"/>
      <c r="I984" s="143"/>
      <c r="J984" s="143"/>
      <c r="K984" s="143"/>
      <c r="L984" s="144"/>
      <c r="M984" s="143"/>
      <c r="N984" s="145"/>
      <c r="O984" s="146"/>
      <c r="P984" s="144"/>
      <c r="Q984" s="147"/>
      <c r="R984" s="148"/>
      <c r="S984" s="148"/>
      <c r="T984" s="148"/>
      <c r="U984" s="148"/>
      <c r="V984" s="148"/>
      <c r="W984" s="148"/>
      <c r="X984" s="148"/>
      <c r="Y984" s="148"/>
      <c r="Z984" s="148"/>
      <c r="AA984" s="148"/>
      <c r="AB984" s="148"/>
      <c r="AC984" s="148"/>
      <c r="AD984" s="149"/>
      <c r="AE984" s="150"/>
      <c r="AF984" s="151"/>
      <c r="AG984" s="152"/>
      <c r="AH984" s="149"/>
    </row>
    <row r="985" customFormat="false" ht="12" hidden="false" customHeight="false" outlineLevel="0" collapsed="false">
      <c r="A985" s="134"/>
      <c r="B985" s="135"/>
      <c r="C985" s="143"/>
      <c r="D985" s="143"/>
      <c r="E985" s="143"/>
      <c r="F985" s="143"/>
      <c r="G985" s="143"/>
      <c r="H985" s="143"/>
      <c r="I985" s="143"/>
      <c r="J985" s="143"/>
      <c r="K985" s="143"/>
      <c r="L985" s="144"/>
      <c r="M985" s="143"/>
      <c r="N985" s="145"/>
      <c r="O985" s="146"/>
      <c r="P985" s="144"/>
      <c r="Q985" s="147"/>
      <c r="R985" s="148"/>
      <c r="S985" s="148"/>
      <c r="T985" s="148"/>
      <c r="U985" s="148"/>
      <c r="V985" s="148"/>
      <c r="W985" s="148"/>
      <c r="X985" s="148"/>
      <c r="Y985" s="148"/>
      <c r="Z985" s="148"/>
      <c r="AA985" s="148"/>
      <c r="AB985" s="148"/>
      <c r="AC985" s="148"/>
      <c r="AD985" s="149"/>
      <c r="AE985" s="150"/>
      <c r="AF985" s="151"/>
      <c r="AG985" s="152"/>
      <c r="AH985" s="149"/>
    </row>
    <row r="986" customFormat="false" ht="12" hidden="false" customHeight="false" outlineLevel="0" collapsed="false">
      <c r="A986" s="134"/>
      <c r="B986" s="135"/>
      <c r="C986" s="143"/>
      <c r="D986" s="143"/>
      <c r="E986" s="143"/>
      <c r="F986" s="143"/>
      <c r="G986" s="143"/>
      <c r="H986" s="143"/>
      <c r="I986" s="143"/>
      <c r="J986" s="143"/>
      <c r="K986" s="143"/>
      <c r="L986" s="144"/>
      <c r="M986" s="143"/>
      <c r="N986" s="145"/>
      <c r="O986" s="146"/>
      <c r="P986" s="144"/>
      <c r="Q986" s="147"/>
      <c r="R986" s="148"/>
      <c r="S986" s="148"/>
      <c r="T986" s="148"/>
      <c r="U986" s="148"/>
      <c r="V986" s="148"/>
      <c r="W986" s="148"/>
      <c r="X986" s="148"/>
      <c r="Y986" s="148"/>
      <c r="Z986" s="148"/>
      <c r="AA986" s="148"/>
      <c r="AB986" s="148"/>
      <c r="AC986" s="148"/>
      <c r="AD986" s="149"/>
      <c r="AE986" s="150"/>
      <c r="AF986" s="151"/>
      <c r="AG986" s="152"/>
      <c r="AH986" s="149"/>
    </row>
    <row r="987" customFormat="false" ht="12" hidden="false" customHeight="false" outlineLevel="0" collapsed="false">
      <c r="A987" s="134"/>
      <c r="B987" s="135"/>
      <c r="C987" s="143"/>
      <c r="D987" s="143"/>
      <c r="E987" s="143"/>
      <c r="F987" s="143"/>
      <c r="G987" s="143"/>
      <c r="H987" s="143"/>
      <c r="I987" s="143"/>
      <c r="J987" s="143"/>
      <c r="K987" s="143"/>
      <c r="L987" s="144"/>
      <c r="M987" s="143"/>
      <c r="N987" s="145"/>
      <c r="O987" s="146"/>
      <c r="P987" s="144"/>
      <c r="Q987" s="147"/>
      <c r="R987" s="148"/>
      <c r="S987" s="148"/>
      <c r="T987" s="148"/>
      <c r="U987" s="148"/>
      <c r="V987" s="148"/>
      <c r="W987" s="148"/>
      <c r="X987" s="148"/>
      <c r="Y987" s="148"/>
      <c r="Z987" s="148"/>
      <c r="AA987" s="148"/>
      <c r="AB987" s="148"/>
      <c r="AC987" s="148"/>
      <c r="AD987" s="149"/>
      <c r="AE987" s="150"/>
      <c r="AF987" s="151"/>
      <c r="AG987" s="152"/>
      <c r="AH987" s="149"/>
    </row>
    <row r="988" customFormat="false" ht="12" hidden="false" customHeight="false" outlineLevel="0" collapsed="false">
      <c r="A988" s="134"/>
      <c r="B988" s="135"/>
      <c r="C988" s="143"/>
      <c r="D988" s="143"/>
      <c r="E988" s="143"/>
      <c r="F988" s="143"/>
      <c r="G988" s="143"/>
      <c r="H988" s="143"/>
      <c r="I988" s="143"/>
      <c r="J988" s="143"/>
      <c r="K988" s="143"/>
      <c r="L988" s="144"/>
      <c r="M988" s="143"/>
      <c r="N988" s="145"/>
      <c r="O988" s="146"/>
      <c r="P988" s="144"/>
      <c r="Q988" s="147"/>
      <c r="R988" s="148"/>
      <c r="S988" s="148"/>
      <c r="T988" s="148"/>
      <c r="U988" s="148"/>
      <c r="V988" s="148"/>
      <c r="W988" s="148"/>
      <c r="X988" s="148"/>
      <c r="Y988" s="148"/>
      <c r="Z988" s="148"/>
      <c r="AA988" s="148"/>
      <c r="AB988" s="148"/>
      <c r="AC988" s="148"/>
      <c r="AD988" s="149"/>
      <c r="AE988" s="150"/>
      <c r="AF988" s="151"/>
      <c r="AG988" s="152"/>
      <c r="AH988" s="149"/>
    </row>
    <row r="989" customFormat="false" ht="12" hidden="false" customHeight="false" outlineLevel="0" collapsed="false">
      <c r="A989" s="134"/>
      <c r="B989" s="135"/>
      <c r="C989" s="143"/>
      <c r="D989" s="143"/>
      <c r="E989" s="143"/>
      <c r="F989" s="143"/>
      <c r="G989" s="143"/>
      <c r="H989" s="143"/>
      <c r="I989" s="143"/>
      <c r="J989" s="143"/>
      <c r="K989" s="143"/>
      <c r="L989" s="144"/>
      <c r="M989" s="143"/>
      <c r="N989" s="145"/>
      <c r="O989" s="146"/>
      <c r="P989" s="144"/>
      <c r="Q989" s="147"/>
      <c r="R989" s="148"/>
      <c r="S989" s="148"/>
      <c r="T989" s="148"/>
      <c r="U989" s="148"/>
      <c r="V989" s="148"/>
      <c r="W989" s="148"/>
      <c r="X989" s="148"/>
      <c r="Y989" s="148"/>
      <c r="Z989" s="148"/>
      <c r="AA989" s="148"/>
      <c r="AB989" s="148"/>
      <c r="AC989" s="148"/>
      <c r="AD989" s="149"/>
      <c r="AE989" s="150"/>
      <c r="AF989" s="151"/>
      <c r="AG989" s="152"/>
      <c r="AH989" s="149"/>
    </row>
    <row r="990" customFormat="false" ht="12" hidden="false" customHeight="false" outlineLevel="0" collapsed="false">
      <c r="A990" s="134"/>
      <c r="B990" s="135"/>
      <c r="C990" s="143"/>
      <c r="D990" s="143"/>
      <c r="E990" s="143"/>
      <c r="F990" s="143"/>
      <c r="G990" s="143"/>
      <c r="H990" s="143"/>
      <c r="I990" s="143"/>
      <c r="J990" s="143"/>
      <c r="K990" s="143"/>
      <c r="L990" s="144"/>
      <c r="M990" s="143"/>
      <c r="N990" s="145"/>
      <c r="O990" s="146"/>
      <c r="P990" s="144"/>
      <c r="Q990" s="147"/>
      <c r="R990" s="148"/>
      <c r="S990" s="148"/>
      <c r="T990" s="148"/>
      <c r="U990" s="148"/>
      <c r="V990" s="148"/>
      <c r="W990" s="148"/>
      <c r="X990" s="148"/>
      <c r="Y990" s="148"/>
      <c r="Z990" s="148"/>
      <c r="AA990" s="148"/>
      <c r="AB990" s="148"/>
      <c r="AC990" s="148"/>
      <c r="AD990" s="149"/>
      <c r="AE990" s="150"/>
      <c r="AF990" s="151"/>
      <c r="AG990" s="152"/>
      <c r="AH990" s="149"/>
    </row>
    <row r="991" customFormat="false" ht="12" hidden="false" customHeight="false" outlineLevel="0" collapsed="false">
      <c r="A991" s="134"/>
      <c r="B991" s="135"/>
      <c r="C991" s="143"/>
      <c r="D991" s="143"/>
      <c r="E991" s="143"/>
      <c r="F991" s="143"/>
      <c r="G991" s="143"/>
      <c r="H991" s="143"/>
      <c r="I991" s="143"/>
      <c r="J991" s="143"/>
      <c r="K991" s="143"/>
      <c r="L991" s="144"/>
      <c r="M991" s="143"/>
      <c r="N991" s="145"/>
      <c r="O991" s="146"/>
      <c r="P991" s="144"/>
      <c r="Q991" s="147"/>
      <c r="R991" s="148"/>
      <c r="S991" s="148"/>
      <c r="T991" s="148"/>
      <c r="U991" s="148"/>
      <c r="V991" s="148"/>
      <c r="W991" s="148"/>
      <c r="X991" s="148"/>
      <c r="Y991" s="148"/>
      <c r="Z991" s="148"/>
      <c r="AA991" s="148"/>
      <c r="AB991" s="148"/>
      <c r="AC991" s="148"/>
      <c r="AD991" s="149"/>
      <c r="AE991" s="150"/>
      <c r="AF991" s="151"/>
      <c r="AG991" s="152"/>
      <c r="AH991" s="149"/>
    </row>
    <row r="992" customFormat="false" ht="12" hidden="false" customHeight="false" outlineLevel="0" collapsed="false">
      <c r="A992" s="134"/>
      <c r="B992" s="135"/>
      <c r="C992" s="143"/>
      <c r="D992" s="143"/>
      <c r="E992" s="143"/>
      <c r="F992" s="143"/>
      <c r="G992" s="143"/>
      <c r="H992" s="143"/>
      <c r="I992" s="143"/>
      <c r="J992" s="143"/>
      <c r="K992" s="143"/>
      <c r="L992" s="144"/>
      <c r="M992" s="143"/>
      <c r="N992" s="145"/>
      <c r="O992" s="146"/>
      <c r="P992" s="144"/>
      <c r="Q992" s="147"/>
      <c r="R992" s="148"/>
      <c r="S992" s="148"/>
      <c r="T992" s="148"/>
      <c r="U992" s="148"/>
      <c r="V992" s="148"/>
      <c r="W992" s="148"/>
      <c r="X992" s="148"/>
      <c r="Y992" s="148"/>
      <c r="Z992" s="148"/>
      <c r="AA992" s="148"/>
      <c r="AB992" s="148"/>
      <c r="AC992" s="148"/>
      <c r="AD992" s="149"/>
      <c r="AE992" s="150"/>
      <c r="AF992" s="151"/>
      <c r="AG992" s="152"/>
      <c r="AH992" s="149"/>
    </row>
    <row r="993" customFormat="false" ht="12" hidden="false" customHeight="false" outlineLevel="0" collapsed="false">
      <c r="A993" s="134"/>
      <c r="B993" s="135"/>
      <c r="C993" s="143"/>
      <c r="D993" s="143"/>
      <c r="E993" s="143"/>
      <c r="F993" s="143"/>
      <c r="G993" s="143"/>
      <c r="H993" s="143"/>
      <c r="I993" s="143"/>
      <c r="J993" s="143"/>
      <c r="K993" s="143"/>
      <c r="L993" s="144"/>
      <c r="M993" s="143"/>
      <c r="N993" s="145"/>
      <c r="O993" s="146"/>
      <c r="P993" s="144"/>
      <c r="Q993" s="147"/>
      <c r="R993" s="148"/>
      <c r="S993" s="148"/>
      <c r="T993" s="148"/>
      <c r="U993" s="148"/>
      <c r="V993" s="148"/>
      <c r="W993" s="148"/>
      <c r="X993" s="148"/>
      <c r="Y993" s="148"/>
      <c r="Z993" s="148"/>
      <c r="AA993" s="148"/>
      <c r="AB993" s="148"/>
      <c r="AC993" s="148"/>
      <c r="AD993" s="149"/>
      <c r="AE993" s="150"/>
      <c r="AF993" s="151"/>
      <c r="AG993" s="152"/>
      <c r="AH993" s="149"/>
    </row>
    <row r="994" customFormat="false" ht="12" hidden="false" customHeight="false" outlineLevel="0" collapsed="false">
      <c r="A994" s="134"/>
      <c r="B994" s="135"/>
      <c r="C994" s="143"/>
      <c r="D994" s="143"/>
      <c r="E994" s="143"/>
      <c r="F994" s="143"/>
      <c r="G994" s="143"/>
      <c r="H994" s="143"/>
      <c r="I994" s="143"/>
      <c r="J994" s="143"/>
      <c r="K994" s="143"/>
      <c r="L994" s="144"/>
      <c r="M994" s="143"/>
      <c r="N994" s="145"/>
      <c r="O994" s="146"/>
      <c r="P994" s="144"/>
      <c r="Q994" s="147"/>
      <c r="R994" s="148"/>
      <c r="S994" s="148"/>
      <c r="T994" s="148"/>
      <c r="U994" s="148"/>
      <c r="V994" s="148"/>
      <c r="W994" s="148"/>
      <c r="X994" s="148"/>
      <c r="Y994" s="148"/>
      <c r="Z994" s="148"/>
      <c r="AA994" s="148"/>
      <c r="AB994" s="148"/>
      <c r="AC994" s="148"/>
      <c r="AD994" s="149"/>
      <c r="AE994" s="150"/>
      <c r="AF994" s="151"/>
      <c r="AG994" s="152"/>
      <c r="AH994" s="149"/>
    </row>
    <row r="995" customFormat="false" ht="12" hidden="false" customHeight="false" outlineLevel="0" collapsed="false">
      <c r="A995" s="134"/>
      <c r="B995" s="135"/>
      <c r="C995" s="143"/>
      <c r="D995" s="143"/>
      <c r="E995" s="143"/>
      <c r="F995" s="143"/>
      <c r="G995" s="143"/>
      <c r="H995" s="143"/>
      <c r="I995" s="143"/>
      <c r="J995" s="143"/>
      <c r="K995" s="143"/>
      <c r="L995" s="144"/>
      <c r="M995" s="143"/>
      <c r="N995" s="145"/>
      <c r="O995" s="146"/>
      <c r="P995" s="144"/>
      <c r="Q995" s="147"/>
      <c r="R995" s="148"/>
      <c r="S995" s="148"/>
      <c r="T995" s="148"/>
      <c r="U995" s="148"/>
      <c r="V995" s="148"/>
      <c r="W995" s="148"/>
      <c r="X995" s="148"/>
      <c r="Y995" s="148"/>
      <c r="Z995" s="148"/>
      <c r="AA995" s="148"/>
      <c r="AB995" s="148"/>
      <c r="AC995" s="148"/>
      <c r="AD995" s="149"/>
      <c r="AE995" s="150"/>
      <c r="AF995" s="151"/>
      <c r="AG995" s="152"/>
      <c r="AH995" s="149"/>
    </row>
    <row r="996" customFormat="false" ht="12" hidden="false" customHeight="false" outlineLevel="0" collapsed="false">
      <c r="A996" s="134"/>
      <c r="B996" s="135"/>
      <c r="C996" s="143"/>
      <c r="D996" s="143"/>
      <c r="E996" s="143"/>
      <c r="F996" s="143"/>
      <c r="G996" s="143"/>
      <c r="H996" s="143"/>
      <c r="I996" s="143"/>
      <c r="J996" s="143"/>
      <c r="K996" s="143"/>
      <c r="L996" s="144"/>
      <c r="M996" s="143"/>
      <c r="N996" s="145"/>
      <c r="O996" s="146"/>
      <c r="P996" s="144"/>
      <c r="Q996" s="147"/>
      <c r="R996" s="148"/>
      <c r="S996" s="148"/>
      <c r="T996" s="148"/>
      <c r="U996" s="148"/>
      <c r="V996" s="148"/>
      <c r="W996" s="148"/>
      <c r="X996" s="148"/>
      <c r="Y996" s="148"/>
      <c r="Z996" s="148"/>
      <c r="AA996" s="148"/>
      <c r="AB996" s="148"/>
      <c r="AC996" s="148"/>
      <c r="AD996" s="149"/>
      <c r="AE996" s="150"/>
      <c r="AF996" s="151"/>
      <c r="AG996" s="152"/>
      <c r="AH996" s="149"/>
    </row>
    <row r="997" customFormat="false" ht="12" hidden="false" customHeight="false" outlineLevel="0" collapsed="false">
      <c r="A997" s="134"/>
      <c r="B997" s="135"/>
      <c r="C997" s="143"/>
      <c r="D997" s="143"/>
      <c r="E997" s="143"/>
      <c r="F997" s="143"/>
      <c r="G997" s="143"/>
      <c r="H997" s="143"/>
      <c r="I997" s="143"/>
      <c r="J997" s="143"/>
      <c r="K997" s="143"/>
      <c r="L997" s="144"/>
      <c r="M997" s="143"/>
      <c r="N997" s="145"/>
      <c r="O997" s="146"/>
      <c r="P997" s="144"/>
      <c r="Q997" s="147"/>
      <c r="R997" s="148"/>
      <c r="S997" s="148"/>
      <c r="T997" s="148"/>
      <c r="U997" s="148"/>
      <c r="V997" s="148"/>
      <c r="W997" s="148"/>
      <c r="X997" s="148"/>
      <c r="Y997" s="148"/>
      <c r="Z997" s="148"/>
      <c r="AA997" s="148"/>
      <c r="AB997" s="148"/>
      <c r="AC997" s="148"/>
      <c r="AD997" s="149"/>
      <c r="AE997" s="150"/>
      <c r="AF997" s="151"/>
      <c r="AG997" s="152"/>
      <c r="AH997" s="149"/>
    </row>
    <row r="998" customFormat="false" ht="12" hidden="false" customHeight="false" outlineLevel="0" collapsed="false">
      <c r="A998" s="134"/>
      <c r="B998" s="135"/>
      <c r="C998" s="143"/>
      <c r="D998" s="143"/>
      <c r="E998" s="143"/>
      <c r="F998" s="143"/>
      <c r="G998" s="143"/>
      <c r="H998" s="143"/>
      <c r="I998" s="143"/>
      <c r="J998" s="143"/>
      <c r="K998" s="143"/>
      <c r="L998" s="144"/>
      <c r="M998" s="143"/>
      <c r="N998" s="145"/>
      <c r="O998" s="146"/>
      <c r="P998" s="144"/>
      <c r="Q998" s="147"/>
      <c r="R998" s="148"/>
      <c r="S998" s="148"/>
      <c r="T998" s="148"/>
      <c r="U998" s="148"/>
      <c r="V998" s="148"/>
      <c r="W998" s="148"/>
      <c r="X998" s="148"/>
      <c r="Y998" s="148"/>
      <c r="Z998" s="148"/>
      <c r="AA998" s="148"/>
      <c r="AB998" s="148"/>
      <c r="AC998" s="148"/>
      <c r="AD998" s="149"/>
      <c r="AE998" s="150"/>
      <c r="AF998" s="151"/>
      <c r="AG998" s="152"/>
      <c r="AH998" s="149"/>
    </row>
    <row r="999" customFormat="false" ht="12" hidden="false" customHeight="false" outlineLevel="0" collapsed="false">
      <c r="A999" s="134"/>
      <c r="B999" s="135"/>
      <c r="C999" s="143"/>
      <c r="D999" s="143"/>
      <c r="E999" s="143"/>
      <c r="F999" s="143"/>
      <c r="G999" s="143"/>
      <c r="H999" s="143"/>
      <c r="I999" s="143"/>
      <c r="J999" s="143"/>
      <c r="K999" s="143"/>
      <c r="L999" s="144"/>
      <c r="M999" s="143"/>
      <c r="N999" s="145"/>
      <c r="O999" s="146"/>
      <c r="P999" s="144"/>
      <c r="Q999" s="147"/>
      <c r="R999" s="148"/>
      <c r="S999" s="148"/>
      <c r="T999" s="148"/>
      <c r="U999" s="148"/>
      <c r="V999" s="148"/>
      <c r="W999" s="148"/>
      <c r="X999" s="148"/>
      <c r="Y999" s="148"/>
      <c r="Z999" s="148"/>
      <c r="AA999" s="148"/>
      <c r="AB999" s="148"/>
      <c r="AC999" s="148"/>
      <c r="AD999" s="149"/>
      <c r="AE999" s="150"/>
      <c r="AF999" s="151"/>
      <c r="AG999" s="152"/>
      <c r="AH999" s="149"/>
    </row>
    <row r="1000" customFormat="false" ht="12" hidden="false" customHeight="false" outlineLevel="0" collapsed="false">
      <c r="A1000" s="134"/>
      <c r="B1000" s="135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4"/>
      <c r="M1000" s="143"/>
      <c r="N1000" s="145"/>
      <c r="O1000" s="146"/>
      <c r="P1000" s="144"/>
      <c r="Q1000" s="147"/>
      <c r="R1000" s="148"/>
      <c r="S1000" s="148"/>
      <c r="T1000" s="148"/>
      <c r="U1000" s="148"/>
      <c r="V1000" s="148"/>
      <c r="W1000" s="148"/>
      <c r="X1000" s="148"/>
      <c r="Y1000" s="148"/>
      <c r="Z1000" s="148"/>
      <c r="AA1000" s="148"/>
      <c r="AB1000" s="148"/>
      <c r="AC1000" s="148"/>
      <c r="AD1000" s="149"/>
      <c r="AE1000" s="150"/>
      <c r="AF1000" s="151"/>
      <c r="AG1000" s="152"/>
      <c r="AH1000" s="149"/>
    </row>
    <row r="1001" customFormat="false" ht="12" hidden="false" customHeight="false" outlineLevel="0" collapsed="false">
      <c r="A1001" s="134"/>
      <c r="B1001" s="135"/>
      <c r="C1001" s="143"/>
      <c r="D1001" s="143"/>
      <c r="E1001" s="143"/>
      <c r="F1001" s="143"/>
      <c r="G1001" s="143"/>
      <c r="H1001" s="143"/>
      <c r="I1001" s="143"/>
      <c r="J1001" s="143"/>
      <c r="K1001" s="143"/>
      <c r="L1001" s="144"/>
      <c r="M1001" s="143"/>
      <c r="N1001" s="145"/>
      <c r="O1001" s="146"/>
      <c r="P1001" s="144"/>
      <c r="Q1001" s="147"/>
      <c r="R1001" s="148"/>
      <c r="S1001" s="148"/>
      <c r="T1001" s="148"/>
      <c r="U1001" s="148"/>
      <c r="V1001" s="148"/>
      <c r="W1001" s="148"/>
      <c r="X1001" s="148"/>
      <c r="Y1001" s="148"/>
      <c r="Z1001" s="148"/>
      <c r="AA1001" s="148"/>
      <c r="AB1001" s="148"/>
      <c r="AC1001" s="148"/>
      <c r="AD1001" s="149"/>
      <c r="AE1001" s="150"/>
      <c r="AF1001" s="151"/>
      <c r="AG1001" s="152"/>
      <c r="AH1001" s="149"/>
    </row>
    <row r="1002" customFormat="false" ht="12" hidden="false" customHeight="false" outlineLevel="0" collapsed="false">
      <c r="A1002" s="134"/>
      <c r="B1002" s="135"/>
      <c r="C1002" s="143"/>
      <c r="D1002" s="143"/>
      <c r="E1002" s="143"/>
      <c r="F1002" s="143"/>
      <c r="G1002" s="143"/>
      <c r="H1002" s="143"/>
      <c r="I1002" s="143"/>
      <c r="J1002" s="143"/>
      <c r="K1002" s="143"/>
      <c r="L1002" s="144"/>
      <c r="M1002" s="143"/>
      <c r="N1002" s="145"/>
      <c r="O1002" s="146"/>
      <c r="P1002" s="144"/>
      <c r="Q1002" s="147"/>
      <c r="R1002" s="148"/>
      <c r="S1002" s="148"/>
      <c r="T1002" s="148"/>
      <c r="U1002" s="148"/>
      <c r="V1002" s="148"/>
      <c r="W1002" s="148"/>
      <c r="X1002" s="148"/>
      <c r="Y1002" s="148"/>
      <c r="Z1002" s="148"/>
      <c r="AA1002" s="148"/>
      <c r="AB1002" s="148"/>
      <c r="AC1002" s="148"/>
      <c r="AD1002" s="149"/>
      <c r="AE1002" s="150"/>
      <c r="AF1002" s="151"/>
      <c r="AG1002" s="152"/>
      <c r="AH1002" s="149"/>
    </row>
    <row r="1003" customFormat="false" ht="12" hidden="false" customHeight="false" outlineLevel="0" collapsed="false">
      <c r="A1003" s="134"/>
      <c r="B1003" s="135"/>
      <c r="C1003" s="143"/>
      <c r="D1003" s="143"/>
      <c r="E1003" s="143"/>
      <c r="F1003" s="143"/>
      <c r="G1003" s="143"/>
      <c r="H1003" s="143"/>
      <c r="I1003" s="143"/>
      <c r="J1003" s="143"/>
      <c r="K1003" s="143"/>
      <c r="L1003" s="144"/>
      <c r="M1003" s="143"/>
      <c r="N1003" s="145"/>
      <c r="O1003" s="146"/>
      <c r="P1003" s="144"/>
      <c r="Q1003" s="147"/>
      <c r="R1003" s="148"/>
      <c r="S1003" s="148"/>
      <c r="T1003" s="148"/>
      <c r="U1003" s="148"/>
      <c r="V1003" s="148"/>
      <c r="W1003" s="148"/>
      <c r="X1003" s="148"/>
      <c r="Y1003" s="148"/>
      <c r="Z1003" s="148"/>
      <c r="AA1003" s="148"/>
      <c r="AB1003" s="148"/>
      <c r="AC1003" s="148"/>
      <c r="AD1003" s="149"/>
      <c r="AE1003" s="150"/>
      <c r="AF1003" s="151"/>
      <c r="AG1003" s="152"/>
      <c r="AH1003" s="149"/>
    </row>
    <row r="1004" customFormat="false" ht="12" hidden="false" customHeight="false" outlineLevel="0" collapsed="false">
      <c r="A1004" s="134"/>
      <c r="B1004" s="135"/>
      <c r="C1004" s="143"/>
      <c r="D1004" s="143"/>
      <c r="E1004" s="143"/>
      <c r="F1004" s="143"/>
      <c r="G1004" s="143"/>
      <c r="H1004" s="143"/>
      <c r="I1004" s="143"/>
      <c r="J1004" s="143"/>
      <c r="K1004" s="143"/>
      <c r="L1004" s="144"/>
      <c r="M1004" s="143"/>
      <c r="N1004" s="145"/>
      <c r="O1004" s="146"/>
      <c r="P1004" s="144"/>
      <c r="Q1004" s="147"/>
      <c r="R1004" s="148"/>
      <c r="S1004" s="148"/>
      <c r="T1004" s="148"/>
      <c r="U1004" s="148"/>
      <c r="V1004" s="148"/>
      <c r="W1004" s="148"/>
      <c r="X1004" s="148"/>
      <c r="Y1004" s="148"/>
      <c r="Z1004" s="148"/>
      <c r="AA1004" s="148"/>
      <c r="AB1004" s="148"/>
      <c r="AC1004" s="148"/>
      <c r="AD1004" s="149"/>
      <c r="AE1004" s="150"/>
      <c r="AF1004" s="151"/>
      <c r="AG1004" s="152"/>
      <c r="AH1004" s="149"/>
    </row>
    <row r="1005" customFormat="false" ht="12" hidden="false" customHeight="false" outlineLevel="0" collapsed="false">
      <c r="A1005" s="134"/>
      <c r="B1005" s="135"/>
      <c r="C1005" s="143"/>
      <c r="D1005" s="143"/>
      <c r="E1005" s="143"/>
      <c r="F1005" s="143"/>
      <c r="G1005" s="143"/>
      <c r="H1005" s="143"/>
      <c r="I1005" s="143"/>
      <c r="J1005" s="143"/>
      <c r="K1005" s="143"/>
      <c r="L1005" s="144"/>
      <c r="M1005" s="143"/>
      <c r="N1005" s="145"/>
      <c r="O1005" s="146"/>
      <c r="P1005" s="144"/>
      <c r="Q1005" s="147"/>
      <c r="R1005" s="148"/>
      <c r="S1005" s="148"/>
      <c r="T1005" s="148"/>
      <c r="U1005" s="148"/>
      <c r="V1005" s="148"/>
      <c r="W1005" s="148"/>
      <c r="X1005" s="148"/>
      <c r="Y1005" s="148"/>
      <c r="Z1005" s="148"/>
      <c r="AA1005" s="148"/>
      <c r="AB1005" s="148"/>
      <c r="AC1005" s="148"/>
      <c r="AD1005" s="149"/>
      <c r="AE1005" s="150"/>
      <c r="AF1005" s="151"/>
      <c r="AG1005" s="152"/>
      <c r="AH1005" s="149"/>
    </row>
    <row r="1006" customFormat="false" ht="12" hidden="false" customHeight="false" outlineLevel="0" collapsed="false">
      <c r="A1006" s="134"/>
      <c r="B1006" s="135"/>
      <c r="C1006" s="143"/>
      <c r="D1006" s="143"/>
      <c r="E1006" s="143"/>
      <c r="F1006" s="143"/>
      <c r="G1006" s="143"/>
      <c r="H1006" s="143"/>
      <c r="I1006" s="143"/>
      <c r="J1006" s="143"/>
      <c r="K1006" s="143"/>
      <c r="L1006" s="144"/>
      <c r="M1006" s="143"/>
      <c r="N1006" s="145"/>
      <c r="O1006" s="146"/>
      <c r="P1006" s="144"/>
      <c r="Q1006" s="147"/>
      <c r="R1006" s="148"/>
      <c r="S1006" s="148"/>
      <c r="T1006" s="148"/>
      <c r="U1006" s="148"/>
      <c r="V1006" s="148"/>
      <c r="W1006" s="148"/>
      <c r="X1006" s="148"/>
      <c r="Y1006" s="148"/>
      <c r="Z1006" s="148"/>
      <c r="AA1006" s="148"/>
      <c r="AB1006" s="148"/>
      <c r="AC1006" s="148"/>
      <c r="AD1006" s="149"/>
      <c r="AE1006" s="150"/>
      <c r="AF1006" s="151"/>
      <c r="AG1006" s="152"/>
      <c r="AH1006" s="149"/>
    </row>
    <row r="1007" customFormat="false" ht="12" hidden="false" customHeight="false" outlineLevel="0" collapsed="false">
      <c r="A1007" s="134"/>
      <c r="B1007" s="135"/>
      <c r="C1007" s="143"/>
      <c r="D1007" s="143"/>
      <c r="E1007" s="143"/>
      <c r="F1007" s="143"/>
      <c r="G1007" s="143"/>
      <c r="H1007" s="143"/>
      <c r="I1007" s="143"/>
      <c r="J1007" s="143"/>
      <c r="K1007" s="143"/>
      <c r="L1007" s="144"/>
      <c r="M1007" s="143"/>
      <c r="N1007" s="145"/>
      <c r="O1007" s="146"/>
      <c r="P1007" s="144"/>
      <c r="Q1007" s="147"/>
      <c r="R1007" s="148"/>
      <c r="S1007" s="148"/>
      <c r="T1007" s="148"/>
      <c r="U1007" s="148"/>
      <c r="V1007" s="148"/>
      <c r="W1007" s="148"/>
      <c r="X1007" s="148"/>
      <c r="Y1007" s="148"/>
      <c r="Z1007" s="148"/>
      <c r="AA1007" s="148"/>
      <c r="AB1007" s="148"/>
      <c r="AC1007" s="148"/>
      <c r="AD1007" s="149"/>
      <c r="AE1007" s="150"/>
      <c r="AF1007" s="151"/>
      <c r="AG1007" s="152"/>
      <c r="AH1007" s="149"/>
    </row>
    <row r="1008" customFormat="false" ht="12" hidden="false" customHeight="false" outlineLevel="0" collapsed="false">
      <c r="A1008" s="134"/>
      <c r="B1008" s="135"/>
      <c r="C1008" s="143"/>
      <c r="D1008" s="143"/>
      <c r="E1008" s="143"/>
      <c r="F1008" s="143"/>
      <c r="G1008" s="143"/>
      <c r="H1008" s="143"/>
      <c r="I1008" s="143"/>
      <c r="J1008" s="143"/>
      <c r="K1008" s="143"/>
      <c r="L1008" s="144"/>
      <c r="M1008" s="143"/>
      <c r="N1008" s="145"/>
      <c r="O1008" s="146"/>
      <c r="P1008" s="144"/>
      <c r="Q1008" s="147"/>
      <c r="R1008" s="148"/>
      <c r="S1008" s="148"/>
      <c r="T1008" s="148"/>
      <c r="U1008" s="148"/>
      <c r="V1008" s="148"/>
      <c r="W1008" s="148"/>
      <c r="X1008" s="148"/>
      <c r="Y1008" s="148"/>
      <c r="Z1008" s="148"/>
      <c r="AA1008" s="148"/>
      <c r="AB1008" s="148"/>
      <c r="AC1008" s="148"/>
      <c r="AD1008" s="149"/>
      <c r="AE1008" s="150"/>
      <c r="AF1008" s="151"/>
      <c r="AG1008" s="152"/>
      <c r="AH1008" s="149"/>
    </row>
    <row r="1009" customFormat="false" ht="12" hidden="false" customHeight="false" outlineLevel="0" collapsed="false">
      <c r="A1009" s="134"/>
      <c r="B1009" s="135"/>
      <c r="C1009" s="143"/>
      <c r="D1009" s="143"/>
      <c r="E1009" s="143"/>
      <c r="F1009" s="143"/>
      <c r="G1009" s="143"/>
      <c r="H1009" s="143"/>
      <c r="I1009" s="143"/>
      <c r="J1009" s="143"/>
      <c r="K1009" s="143"/>
      <c r="L1009" s="144"/>
      <c r="M1009" s="143"/>
      <c r="N1009" s="145"/>
      <c r="O1009" s="146"/>
      <c r="P1009" s="144"/>
      <c r="Q1009" s="147"/>
      <c r="R1009" s="148"/>
      <c r="S1009" s="148"/>
      <c r="T1009" s="148"/>
      <c r="U1009" s="148"/>
      <c r="V1009" s="148"/>
      <c r="W1009" s="148"/>
      <c r="X1009" s="148"/>
      <c r="Y1009" s="148"/>
      <c r="Z1009" s="148"/>
      <c r="AA1009" s="148"/>
      <c r="AB1009" s="148"/>
      <c r="AC1009" s="148"/>
      <c r="AD1009" s="149"/>
      <c r="AE1009" s="150"/>
      <c r="AF1009" s="151"/>
      <c r="AG1009" s="152"/>
      <c r="AH1009" s="149"/>
    </row>
    <row r="1010" customFormat="false" ht="12" hidden="false" customHeight="false" outlineLevel="0" collapsed="false">
      <c r="A1010" s="134"/>
      <c r="B1010" s="135"/>
      <c r="C1010" s="143"/>
      <c r="D1010" s="143"/>
      <c r="E1010" s="143"/>
      <c r="F1010" s="143"/>
      <c r="G1010" s="143"/>
      <c r="H1010" s="143"/>
      <c r="I1010" s="143"/>
      <c r="J1010" s="143"/>
      <c r="K1010" s="143"/>
      <c r="L1010" s="144"/>
      <c r="M1010" s="143"/>
      <c r="N1010" s="145"/>
      <c r="O1010" s="146"/>
      <c r="P1010" s="144"/>
      <c r="Q1010" s="147"/>
      <c r="R1010" s="148"/>
      <c r="S1010" s="148"/>
      <c r="T1010" s="148"/>
      <c r="U1010" s="148"/>
      <c r="V1010" s="148"/>
      <c r="W1010" s="148"/>
      <c r="X1010" s="148"/>
      <c r="Y1010" s="148"/>
      <c r="Z1010" s="148"/>
      <c r="AA1010" s="148"/>
      <c r="AB1010" s="148"/>
      <c r="AC1010" s="148"/>
      <c r="AD1010" s="149"/>
      <c r="AE1010" s="150"/>
      <c r="AF1010" s="151"/>
      <c r="AG1010" s="152"/>
      <c r="AH1010" s="149"/>
    </row>
    <row r="1011" customFormat="false" ht="12" hidden="false" customHeight="false" outlineLevel="0" collapsed="false">
      <c r="A1011" s="134"/>
      <c r="B1011" s="135"/>
      <c r="C1011" s="143"/>
      <c r="D1011" s="143"/>
      <c r="E1011" s="143"/>
      <c r="F1011" s="143"/>
      <c r="G1011" s="143"/>
      <c r="H1011" s="143"/>
      <c r="I1011" s="143"/>
      <c r="J1011" s="143"/>
      <c r="K1011" s="143"/>
      <c r="L1011" s="144"/>
      <c r="M1011" s="143"/>
      <c r="N1011" s="145"/>
      <c r="O1011" s="146"/>
      <c r="P1011" s="144"/>
      <c r="Q1011" s="147"/>
      <c r="R1011" s="148"/>
      <c r="S1011" s="148"/>
      <c r="T1011" s="148"/>
      <c r="U1011" s="148"/>
      <c r="V1011" s="148"/>
      <c r="W1011" s="148"/>
      <c r="X1011" s="148"/>
      <c r="Y1011" s="148"/>
      <c r="Z1011" s="148"/>
      <c r="AA1011" s="148"/>
      <c r="AB1011" s="148"/>
      <c r="AC1011" s="148"/>
      <c r="AD1011" s="149"/>
      <c r="AE1011" s="150"/>
      <c r="AF1011" s="151"/>
      <c r="AG1011" s="152"/>
      <c r="AH1011" s="149"/>
    </row>
    <row r="1012" customFormat="false" ht="12" hidden="false" customHeight="false" outlineLevel="0" collapsed="false">
      <c r="A1012" s="134"/>
      <c r="B1012" s="135"/>
      <c r="C1012" s="143"/>
      <c r="D1012" s="143"/>
      <c r="E1012" s="143"/>
      <c r="F1012" s="143"/>
      <c r="G1012" s="143"/>
      <c r="H1012" s="143"/>
      <c r="I1012" s="143"/>
      <c r="J1012" s="143"/>
      <c r="K1012" s="143"/>
      <c r="L1012" s="144"/>
      <c r="M1012" s="143"/>
      <c r="N1012" s="145"/>
      <c r="O1012" s="146"/>
      <c r="P1012" s="144"/>
      <c r="Q1012" s="147"/>
      <c r="R1012" s="148"/>
      <c r="S1012" s="148"/>
      <c r="T1012" s="148"/>
      <c r="U1012" s="148"/>
      <c r="V1012" s="148"/>
      <c r="W1012" s="148"/>
      <c r="X1012" s="148"/>
      <c r="Y1012" s="148"/>
      <c r="Z1012" s="148"/>
      <c r="AA1012" s="148"/>
      <c r="AB1012" s="148"/>
      <c r="AC1012" s="148"/>
      <c r="AD1012" s="149"/>
      <c r="AE1012" s="150"/>
      <c r="AF1012" s="151"/>
      <c r="AG1012" s="152"/>
      <c r="AH1012" s="149"/>
    </row>
    <row r="1013" customFormat="false" ht="12" hidden="false" customHeight="false" outlineLevel="0" collapsed="false">
      <c r="A1013" s="134"/>
      <c r="B1013" s="135"/>
      <c r="C1013" s="143"/>
      <c r="D1013" s="143"/>
      <c r="E1013" s="143"/>
      <c r="F1013" s="143"/>
      <c r="G1013" s="143"/>
      <c r="H1013" s="143"/>
      <c r="I1013" s="143"/>
      <c r="J1013" s="143"/>
      <c r="K1013" s="143"/>
      <c r="L1013" s="144"/>
      <c r="M1013" s="143"/>
      <c r="N1013" s="145"/>
      <c r="O1013" s="146"/>
      <c r="P1013" s="144"/>
      <c r="Q1013" s="147"/>
      <c r="R1013" s="148"/>
      <c r="S1013" s="148"/>
      <c r="T1013" s="148"/>
      <c r="U1013" s="148"/>
      <c r="V1013" s="148"/>
      <c r="W1013" s="148"/>
      <c r="X1013" s="148"/>
      <c r="Y1013" s="148"/>
      <c r="Z1013" s="148"/>
      <c r="AA1013" s="148"/>
      <c r="AB1013" s="148"/>
      <c r="AC1013" s="148"/>
      <c r="AD1013" s="149"/>
      <c r="AE1013" s="150"/>
      <c r="AF1013" s="151"/>
      <c r="AG1013" s="152"/>
      <c r="AH1013" s="149"/>
    </row>
  </sheetData>
  <mergeCells count="1">
    <mergeCell ref="M1:P1"/>
  </mergeCells>
  <conditionalFormatting sqref="N8:N5038 N5039:N6617">
    <cfRule type="cellIs" priority="2" operator="lessThan" aboveAverage="0" equalAverage="0" bottom="0" percent="0" rank="0" text="" dxfId="12">
      <formula>$D$1-120</formula>
    </cfRule>
  </conditionalFormatting>
  <conditionalFormatting sqref="B8:B13 D8:D13 E8:K6617 B14:D6617 L8:P6617">
    <cfRule type="expression" priority="3" aboveAverage="0" equalAverage="0" bottom="0" percent="0" rank="0" text="" dxfId="13">
      <formula>#ref!=vd</formula>
    </cfRule>
  </conditionalFormatting>
  <conditionalFormatting sqref="R8:AC8 R9:AC9 R10:AC10 R11:AC11 R12:AC12 R13:AC13 R14:AC14 R15:AC15 R16:AC16 R17:AC17 R18:AC18 R19:AC19 R20:AC20 R21:AC21 R22:AC22 R23:AC23 R38:AC38 R53:AC53 R68:AC68 R83:AC83 R98:AC98 R113:AC113 R128:AC128 R129:AC129 R130:AC130 R131:AC131 R132:AC132 R133:AC133 R134:AC134 R135:AC135 R136:AC136 R137:AC137 R138:AC138 R139:AC139 R140:AC140 R141:AC141 R142:AC142 R143:AC143 R144:AC144 R159:AC159 R174:AC174 R189:AC189 R204:AC204 R219:AC219 R234:AC234 R249:AC249 R250:AC250 R251:AC251 R252:AC252 R253:AC253 R254:AC254 R255:AC255 R256:AC256 R257:AC257 R258:AC258 R259:AC259 R260:AC260 R261:AC261 R262:AC262 R263:AC263 R264:AC264 R265:AC265 R280:AC280 R295:AC295 R310:AC310 R325:AC325 R340:AC340 R355:AC355 R370:AC370 R371:AC371 R372:AC372 R373:AC373 R374:AC374 R375:AC375 R376:AC376 R377:AC377 R378:AC378 R379:AC379 R380:AC380 R381:AC381 R382:AC382 R383:AC383 R384:AC384 R385:AC385 R386:AC386 R401:AC401 R416:AC416 R431:AC431 R446:AC446 R461:AC461 R476:AC476 R491:AC491 R492:AC492 R493:AC493 R494:AC494 R495:AC495 R496:AC496 R497:AC497 R498:AC498 R499:AC499 R500:AC500 R501:AC501 R502:AC502 R503:AC503 R504:AC504 R505:AC505 R506:AC506 R507:AC507 R522:AC522 R537:AC537 R552:AC552 R567:AC567 R582:AC582 R597:AC597 R612:AC612 R613:AC613 R614:AC614 R615:AC615 R616:AC616 R617:AC617 R618:AC618 R619:AC619 R620:AC620 R621:AC621 R622:AC622 R623:AC623 R624:AC624 R625:AC625 R626:AC626 R627:AC627 R628:AC628 R643:AC643 R658:AC658 R673:AC673 R688:AC688 R703:AC703 R718:AC718 R733:AC733 R734:AC734 R735:AC735 R736:AC736 R737:AC737 R738:AC738 R739:AC739 R740:AC740 R741:AC741 R742:AC742 R743:AC743 R744:AC744 R745:AC745 R746:AC746 R747:AC747 R748:AC748 R749:AC749 R764:AC764 R779:AC779 R794:AC794 R809:AC809 R824:AC824 R839:AC839 R854:AC854 R855:AC855 R856:AC856 R857:AC857 R858:AC858 R859:AC859 R860:AC860 R861:AC861 R862:AC862 R863:AC863 R864:AC864 R865:AC865 R866:AC866 R867:AC867 R868:AC868 R869:AC869 R870:AC870 R885:AC885 R900:AC900 R915:AC915 R930:AC930 R945:AC945 R960:AC960 R975:AC975 R976:AC976 R977:AC977 R978:AC978 R979:AC979 R980:AC980 R981:AC981 R982:AC982 R983:AC983 R984:AC984 R985:AC985 R986:AC986 R987:AC987 R988:AC988 R989:AC989 R990:AC990 R991:AC991 R1006:AC1006 R1021:AC1021 R1036:AC1036 R1051:AC1051 R1066:AC1066 R1081:AC1081 R1096:AC1096 R1097:AC1097 R1098:AC1098 R1099:AC1099 R1100:AC1100 R1101:AC1101 R1102:AC1102 R1103:AC1103 R1104:AC1104 R1105:AC1105 R1106:AC1106 R1107:AC1107 R1108:AC1108 R1109:AC1109 R1110:AC1110 R1111:AC1111 R1112:AC1112 R1113:AC1113 R1114:AC1114 R1129:AC1129 R1144:AC1144 R1159:AC1159 R1174:AC1174 R1189:AC1189 R1204:AC1204 R1219:AC1219 R1220:AC1220 R1221:AC1221 R1222:AC1222 R1223:AC1223 R1224:AC1224 R1225:AC1225 R1226:AC1226 R1227:AC1227 R1228:AC1228 R1229:AC1229 R1230:AC1230 R1231:AC1231 R1232:AC1232 R1233:AC1233 R1234:AC1234 R1235:AC1235 R1250:AC1250 R1265:AC1265 R1280:AC1280 R1295:AC1295 R1310:AC1310 R1325:AC1325 R1340:AC1340 R1341:AC1341 R1342:AC1342 R1343:AC1343 R1344:AC1344 R1345:AC1345 R1346:AC1346 R1347:AC1347 R1348:AC1348 R1349:AC1349 R1350:AC1350 R1351:AC1351 R1352:AC1352 R1353:AC1353 R1354:AC1354 R1355:AC1355 R1356:AC1356 R1371:AC1371 R1386:AC1386 R1401:AC1401 R1416:AC1416 R1431:AC1431 R1446:AC1446 R1461:AC1461 R1462:AC1462 R1463:AC1463 R1464:AC1464 R1465:AC1465 R1466:AC1466 R1467:AC1467 R1468:AC1468 R1469:AC1469 R1470:AC1470 R1471:AC1471 R1472:AC1472 R1473:AC1473 R1474:AC1474 R1475:AC1475 R1476:AC1476 R1477:AC1477 R1492:AC1492 R1507:AC1507 R1522:AC1522 R1537:AC1537 R1552:AC1552 R1567:AC1567 R1582:AC1582 R1583:AC1583 R1584:AC1584 R1585:AC1585 R1586:AC1586 R1587:AC1587 R1588:AC1588 R1589:AC1589 R1590:AC1590 R1591:AC1591 R1592:AC1592 R1593:AC1593 R1594:AC1594 R1595:AC1595 R1596:AC1596 R1597:AC1597 R1598:AC1598 R1613:AC1613 R1628:AC1628 R1643:AC1643 R1658:AC1658 R1673:AC1673 R1688:AC1688 R1703:AC1703 R1704:AC1704 R1705:AC1705 R1706:AC1706 R1707:AC1707 R1708:AC1708 R1709:AC1709 R1710:AC1710 R1711:AC1711 R1712:AC1712 R1713:AC1713 R1714:AC1714 R1715:AC1715 R1716:AC1716 R1717:AC1717 R1718:AC1718 R1719:AC1719 R1734:AC1734 R1749:AC1749 R1764:AC1764 R1779:AC1779 R1794:AC1794 R1809:AC1809 R1824:AC1824 R1825:AC1825 R1826:AC1826 R1827:AC1827 R1828:AC1828 R1829:AC1829 R1830:AC1830 R1831:AC1831 R1832:AC1832 R1833:AC1833 R1834:AC1834 R1835:AC1835 R1836:AC1836 R1837:AC1837 R1838:AC1838 R1839:AC1839 R1840:AC1840 R1855:AC1855 R1870:AC1870 R1885:AC1885 R1900:AC1900 R1915:AC1915 R1930:AC1930 R1945:AC1945 R1946:AC1946 R1947:AC1947 R1948:AC1948 R1949:AC1949 R1950:AC1950 R1951:AC1951 R1952:AC1952 R1953:AC1953 R1954:AC1954 R1955:AC1955 R1956:AC1956 R1957:AC1957 R1958:AC1958 R1959:AC1959 R1960:AC1960 R1961:AC1961 R1976:AC1976 R1991:AC1991 R2006:AC2006 R2021:AC2021 R2036:AC2036 R2051:AC2051 R2066:AC2066 R2067:AC2067 R2068:AC2068 R2069:AC2069 R2070:AC2070 R2071:AC2071 R2072:AC2072 R2073:AC2073 R2074:AC2074 R2075:AC2075 R2076:AC2076 R2077:AC2077 R2078:AC2078 R2079:AC2079 R2080:AC2080 R2081:AC2081 R2082:AC2082 R2097:AC2097 R2112:AC2112 R2127:AC2127 R2142:AC2142 R2157:AC2157 R2172:AC2172 R2187:AC2187 R2188:AC2188 R2189:AC2189 R2190:AC2190 R2191:AC2191 R2192:AC2192 R2193:AC2193 R2194:AC2194 R2195:AC2195 R2196:AC2196 R2197:AC2197 R2198:AC2198 R2199:AC2199 R2200:AC2200 R2201:AC2201 R2202:AC2202 R2203:AC2203 R2204:AC2204 R2205:AC2205 R2220:AC2220 R2235:AC2235 R2250:AC2250 R2265:AC2265 R2280:AC2280 R2295:AC2295 R2310:AC2310 R2311:AC2311 R2312:AC2312 R2313:AC2313 R2314:AC2314 R2315:AC2315 R2316:AC2316 R2317:AC2317 R2318:AC2318 R2319:AC2319 R2320:AC2320 R2321:AC2321 R2322:AC2322 R2323:AC2323 R2324:AC2324 R2325:AC2325 R2326:AC2326 R2341:AC2341 R2356:AC2356 R2371:AC2371 R2386:AC2386 R2401:AC2401 R2416:AC2416 R2431:AC2431 R2432:AC2432 R2433:AC2433 R2434:AC2434 R2435:AC2435 R2436:AC2436 R2437:AC2437 R2438:AC2438 R2439:AC2439 R2440:AC2440 R2441:AC2441 R2442:AC2442 R2443:AC2443 R2444:AC2444 R2445:AC2445 R2446:AC2446 R2447:AC2447 R2462:AC2462 R2477:AC2477 R2492:AC2492 R2507:AC2507 R2522:AC2522 R2537:AC2537 R2552:AC2552 R2553:AC2553 R2554:AC2554 R2555:AC2555 R2556:AC2556 R2557:AC2557 R2558:AC2558 R2559:AC2559 R2560:AC2560 R2561:AC2561 R2562:AC2562 R2563:AC2563 R2564:AC2564 R2565:AC2565 R2566:AC2566 R2567:AC2567 R2568:AC2568 R2583:AC2583 R2598:AC2598 R2613:AC2613 R2628:AC2628 R2643:AC2643 R2658:AC2658 R2673:AC2673 R2674:AC2674 R2675:AC2675 R2676:AC2676 R2677:AC2677 R2678:AC2678 R2679:AC2679 R2680:AC2680 R2681:AC2681 R2682:AC2682 R2683:AC2683 R2684:AC2684 R2685:AC2685 R2686:AC2686 R2687:AC2687 R2688:AC2688 R2689:AC2689 R2704:AC2704 R2719:AC2719 R2734:AC2734 R2749:AC2749 R2764:AC2764 R2779:AC2779 R2794:AC2794 R2795:AC2795 R2796:AC2796 R2797:AC2797 R2798:AC2798 R2799:AC2799 R2800:AC2800 R2801:AC2801 R2802:AC2802 R2803:AC2803 R2804:AC2804 R2805:AC2805 R2806:AC2806 R2807:AC2807 R2808:AC2808 R2809:AC2809 R2810:AC2810 R2825:AC2825 R2840:AC2840 R2855:AC2855 R2870:AC2870 R2885:AC2885 R2900:AC2900 R2915:AC2915 R2916:AC2916 R2917:AC2917 R2918:AC2918 R2919:AC2919 R2920:AC2920 R2921:AC2921 R2922:AC2922 R2923:AC2923 R2924:AC2924 R2925:AC2925 R2926:AC2926 R2927:AC2927 R2928:AC2928 R2929:AC2929 R2930:AC2930 R2931:AC2931 R2946:AC2946 R2961:AC2961 R2976:AC2976 R2991:AC2991 R3006:AC3006 R3021:AC3021 R3036:AC3036 R3037:AC3037 R3038:AC3038 R3039:AC3039 R3040:AC3040 R3041:AC3041 R3042:AC3042 R3043:AC3043 R3044:AC3044 R3045:AC3045 R3046:AC3046 R3047:AC3047 R3048:AC3048 R3049:AC3049 R3050:AC3050 R3051:AC3051 R3052:AC3052 R3067:AC3067 R3082:AC3082 R3097:AC3097 R3112:AC3112 R3127:AC3127 R3142:AC3142 R3157:AC3157 R3158:AC3158 R3159:AC3159 R3160:AC3160 R3161:AC3161 R3162:AC3162 R3163:AC3163 R3164:AC3164 R3165:AC3165 R3166:AC3166 R3167:AC3167 R3168:AC3168 R3169:AC3169 R3170:AC3170 R3171:AC3171 R3172:AC3172 R3173:AC3173 R3188:AC3188 R3203:AC3203 R3218:AC3218 R3233:AC3233 R3248:AC3248 R3263:AC3263 R3278:AC3278 R3279:AC3279 R3280:AC3280 R3281:AC3281 R3282:AC3282 R3283:AC3283 R3284:AC3284 R3285:AC3285 R3286:AC3286 R3287:AC3287 R3288:AC3288 R3289:AC3289 R3290:AC3290 R3291:AC3291 R3292:AC3292 R3293:AC3293 R3294:AC3294 R3295:AC3295 R3296:AC3296 R3311:AC3311 R3326:AC3326 R3341:AC3341 R3356:AC3356 R3371:AC3371 R3386:AC3386 R3401:AC3401 R3402:AC3402 R3403:AC3403 R3404:AC3404 R3405:AC3405 R3406:AC3406 R3407:AC3407 R3408:AC3408 R3409:AC3409 R3410:AC3410 R3411:AC3411 R3412:AC3412 R3413:AC3413 R3414:AC3414 R3415:AC3415 R3416:AC3416 R3417:AC3417 R3432:AC3432 R3447:AC3447 R3462:AC3462 R3477:AC3477 R3492:AC3492 R3507:AC3507 R3522:AC3522 R3523:AC3523 R3524:AC3524 R3525:AC3525 R3526:AC3526 R3527:AC3527 R3528:AC3528 R3529:AC3529 R3530:AC3530 R3531:AC3531 R3532:AC3532 R3533:AC3533 R3534:AC3534 R3535:AC3535 R3536:AC3536 R3537:AC3537 R3538:AC3538 R3553:AC3553 R3568:AC3568 R3583:AC3583 R3598:AC3598 R3613:AC3613 R3628:AC3628 R3643:AC3643 R3644:AC3644 R3645:AC3645 R3646:AC3646 R3647:AC3647 R3648:AC3648 R3649:AC3649 R3650:AC3650 R3651:AC3651 R3652:AC3652 R3653:AC3653 R3654:AC3654 R3655:AC3655 R3656:AC3656 R3657:AC3657 R3658:AC3658 R3659:AC3659 R3674:AC3674 R3689:AC3689 R3704:AC3704 R3719:AC3719 R3734:AC3734 R3749:AC3749 R3764:AC3764 R3765:AC3765 R3766:AC3766 R3767:AC3767 R3768:AC3768 R3769:AC3769 R3770:AC3770 R3771:AC3771 R3772:AC3772 R3773:AC3773 R3774:AC3774 R3775:AC3775 R3776:AC3776 R3777:AC3777 R3778:AC3778 R3779:AC3779 R3780:AC3780 R3795:AC3795 R3810:AC3810 R3825:AC3825 R3840:AC3840 R3855:AC3855 R3870:AC3870 R3885:AC3885 R3886:AC3886 R3887:AC3887 R3888:AC3888 R3889:AC3889 R3890:AC3890 R3891:AC3891 R3892:AC3892 R3893:AC3893 R3894:AC3894 R3895:AC3895 R3896:AC3896 R3897:AC3897 R3898:AC3898 R3899:AC3899 R3900:AC3900 R3901:AC3901 R3916:AC3916 R3931:AC3931 R3946:AC3946 R3961:AC3961 R3976:AC3976 R3991:AC3991 R4006:AC4006 R4007:AC4007 R4008:AC4008 R4009:AC4009 R4010:AC4010 R4011:AC4011 R4012:AC4012 R4013:AC4013 R4014:AC4014 R4015:AC4015 R4016:AC4016 R4017:AC4017 R4018:AC4018 R4019:AC4019 R4020:AC4020 R4021:AC4021 R4022:AC4022 R4098:AC4109 R4294:AC4294 R4098:AC4109 R5039:AC5039 R5040:AC5040 R5041:AC5041 R5042:AC5042 R5043:AC5043 R5044:AC5044 R5045:AC5045 R5046:AC5046 R5047:AC5047 R5048:AC5048 R5049:AC5049 R5050:AC5050 R5051:AC5051 R5052:AC5052 R5053:AC5053 R5054:AC5054 R5069:AC5069 R5084:AC5084 R5099:AC5099 R5114:AC5114 R5129:AC5129 R5144:AC5144 R5159:AC5159 R5160:AC5160 R5161:AC5161 R5162:AC5162 R5163:AC5163 R5164:AC5164 R5165:AC5165 R5166:AC5166 R5167:AC5167 R5168:AC5168 R5169:AC5169 R5170:AC5170 R5171:AC5171 R5172:AC5172 R5173:AC5173 R5174:AC5174 R5175:AC5175 R5190:AC5190 R5205:AC5205 R5220:AC5220 R5235:AC5235 R5250:AC5250 R5265:AC5265 R5280:AC5280 R5281:AC5281 R5282:AC5282 R5283:AC5283 R5284:AC5284 R5285:AC5285 R5286:AC5286 R5287:AC5287 R5288:AC5288 R5289:AC5289 R5290:AC5290 R5291:AC5291 R5292:AC5292 R5293:AC5293 R5294:AC5294 R5295:AC5295 R5296:AC5296 R5311:AC5311 R5326:AC5326 R5341:AC5341 R5356:AC5356 R5371:AC5371 R5386:AC5386 R5401:AC5401 R5402:AC5402 R5403:AC5403 R5404:AC5404 R5405:AC5405 R5406:AC5406 R5407:AC5407 R5408:AC5408 R5409:AC5409 R5410:AC5410 R5411:AC5411 R5412:AC5412 R5413:AC5413 R5414:AC5414 R5415:AC5415 R5416:AC5416 R5417:AC5417 R5432:AC5432 R5447:AC5447 R5462:AC5462 R5477:AC5477 R5492:AC5492 R5507:AC5507 R5522:AC5522 R5523:AC5523 R5524:AC5524 R5525:AC5525 R5526:AC5526 R5527:AC5527 R5528:AC5528 R5529:AC5529 R5530:AC5530 R5531:AC5531 R5532:AC5532 R5533:AC5533 R5534:AC5534 R5535:AC5535 R5536:AC5536 R5537:AC5537 R5538:AC5538 R5553:AC5553 R5568:AC5568 R5583:AC5583 R5598:AC5598 R5613:AC5613 R5628:AC5628 R5643:AC5643 R5644:AC5644 R5645:AC5645 R5646:AC5646 R5647:AC5647 R5648:AC5648 R5649:AC5649 R5650:AC5650 R5651:AC5651 R5652:AC5652 R5653:AC5653 R5654:AC5654 R5655:AC5655 R5656:AC5656 R5657:AC5657 R5658:AC5658 R5659:AC5659 R5674:AC5674 R5689:AC5689 R5704:AC5704 R5719:AC5719 R5734:AC5734 R5749:AC5749 R5764:AC5764 R5765:AC5765 R5766:AC5766 R5767:AC5767 R5768:AC5768 R5769:AC5769 R5770:AC5770 R5771:AC5771 R5772:AC5772 R5773:AC5773 R5774:AC5774 R5775:AC5775 R5776:AC5776 R5777:AC5777 R5778:AC5778 R5779:AC5779 R5780:AC5780 R5795:AC5795 R5810:AC5810 R5825:AC5825 R5840:AC5840 R5855:AC5855 R5870:AC5870 R5885:AC5885 R5886:AC5886 R5887:AC5887 R5888:AC5888 R5889:AC5889 R5890:AC5890 R5891:AC5891 R5892:AC5892 R5893:AC5893 R5894:AC5894 R5895:AC5895 R5896:AC5896 R5897:AC5897 R5898:AC5898 R5899:AC5899 R5900:AC5900 R5901:AC5901 R5916:AC5916 R5931:AC5931 R5946:AC5946 R5961:AC5961 R5976:AC5976 R5991:AC5991 R6006:AC6006 R6007:AC6007 R6008:AC6008 R6009:AC6009 R6010:AC6010 R6011:AC6011 R6012:AC6012 R6013:AC6013 R6014:AC6014 R6015:AC6015 R6016:AC6016 R6017:AC6017 R6018:AC6018 R6019:AC6019 R6020:AC6020 R6021:AC6021 R6022:AC6022 R6037:AC6037 R6052:AC6052 R6067:AC6067 R6082:AC6082 R6097:AC6097 R6112:AC6112 R6127:AC6127 R6128:AC6128 R6129:AC6129 R6130:AC6130 R6131:AC6131 R6132:AC6132 R6133:AC6133 R6134:AC6134 R6135:AC6135 R6136:AC6136 R6137:AC6137 R6138:AC6138 R6139:AC6139 R6140:AC6140 R6141:AC6141 R6142:AC6142 R6143:AC6143 R6144:AC6144 R6145:AC6145 R6160:AC6160 R6175:AC6175 R6190:AC6190 R6205:AC6205 R6220:AC6220 R6235:AC6235 R6250:AC6250 R6251:AC6251 R6252:AC6252 R6253:AC6253 R6254:AC6254 R6255:AC6255 R6256:AC6256 R6257:AC6257 R6258:AC6258 R6259:AC6259 R6260:AC6260 R6261:AC6261 R6262:AC6262 R6263:AC6263 R6264:AC6264 R6265:AC6265 R6266:AC6266 R6281:AC6281 R6296:AC6296 R6311:AC6311 R6326:AC6326 R6341:AC6341 R6356:AC6356 R6371:AC6371 R6372:AC6372 R6373:AC6373 R6374:AC6374 R6375:AC6375 R6376:AC6376 R6377:AC6377 R6378:AC6378 R6379:AC6379 R6380:AC6380 R6381:AC6381 R6382:AC6382 R6383:AC6383 R6384:AC6384 R6385:AC6385 R6386:AC6386 R6387:AC6387 R6402:AC6402 R6417:AC6417 R6432:AC6432 R6447:AC6447 R6462:AC6462 R6477:AC6477 R6492:AC6492 R6493:AC6493 R6494:AC6494 R6495:AC6495 R6496:AC6496 R6497:AC6497 R6498:AC6498 R6499:AC6499 R6500:AC6500 R6501:AC6501 R6502:AC6502 R6503:AC6503 R6504:AC6504 R6505:AC6505 R6506:AC6506 R6507:AC6507 R6508:AC6508 R6523:AC6523 R6538:AC6538 R6553:AC6553 R6568:AC6568 R6583:AC6583 R6598:AC6598 R6613:AC6613 R6614:AC6614 R6615:AC6615 R6616:AC6616 R6617:AC6617 R5:AD5">
    <cfRule type="colorScale" priority="4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R24:AC24 R25:AC25 R26:AC26 R27:AC27 R28:AC28 R29:AC29 R30:AC30 R31:AC31 R32:AC32 R33:AC33 R34:AC34 R35:AC35 R36:AC36 R37:AC37 R39:AC39 R40:AC40 R41:AC41 R42:AC42 R43:AC43 R44:AC44 R45:AC45 R46:AC46 R47:AC47 R48:AC48 R49:AC49 R50:AC50 R51:AC51 R52:AC52 R54:AC54 R55:AC55 R56:AC56 R57:AC57 R58:AC58 R59:AC59 R60:AC60 R61:AC61 R62:AC62 R63:AC63 R64:AC64 R65:AC65 R66:AC66 R67:AC67 R69:AC69 R70:AC70 R71:AC71 R72:AC72 R73:AC73 R74:AC74 R75:AC75 R76:AC76 R77:AC77 R78:AC78 R79:AC79 R80:AC80 R81:AC81 R82:AC82 R84:AC84 R85:AC85 R86:AC86 R87:AC87 R88:AC88 R89:AC89 R90:AC90 R91:AC91 R92:AC92 R93:AC93 R94:AC94 R95:AC95 R96:AC96 R97:AC97 R99:AC99 R100:AC100 R101:AC101 R102:AC102 R103:AC103 R104:AC104 R105:AC105 R106:AC106 R107:AC107 R108:AC108 R109:AC109 R110:AC110 R111:AC111 R112:AC112 R114:AC114 R115:AC115 R116:AC116 R117:AC117 R118:AC118 R119:AC119 R120:AC120 R121:AC121 R122:AC122 R123:AC123 R124:AC124 R125:AC125 R126:AC126 R127:AC127 R145:AC145 R146:AC146 R147:AC147 R148:AC148 R149:AC149 R150:AC150 R151:AC151 R152:AC152 R153:AC153 R154:AC154 R155:AC155 R156:AC156 R157:AC157 R158:AC158 R160:AC160 R161:AC161 R162:AC162 R163:AC163 R164:AC164 R165:AC165 R166:AC166 R167:AC167 R168:AC168 R169:AC169 R170:AC170 R171:AC171 R172:AC172 R173:AC173 R175:AC175 R176:AC176 R177:AC177 R178:AC178 R179:AC179 R180:AC180 R181:AC181 R182:AC182 R183:AC183 R184:AC184 R185:AC185 R186:AC186 R187:AC187 R188:AC188 R190:AC190 R191:AC191 R192:AC192 R193:AC193 R194:AC194 R195:AC195 R196:AC196 R197:AC197 R198:AC198 R199:AC199 R200:AC200 R201:AC201 R202:AC202 R203:AC203 R205:AC205 R206:AC206 R207:AC207 R208:AC208 R209:AC209 R210:AC210 R211:AC211 R212:AC212 R213:AC213 R214:AC214 R215:AC215 R216:AC216 R217:AC217 R218:AC218 R220:AC220 R221:AC221 R222:AC222 R223:AC223 R224:AC224 R225:AC225 R226:AC226 R227:AC227 R228:AC228 R229:AC229 R230:AC230 R231:AC231 R232:AC232 R233:AC233 R235:AC235 R236:AC236 R237:AC237 R238:AC238 R239:AC239 R240:AC240 R241:AC241 R242:AC242 R243:AC243 R244:AC244 R245:AC245 R246:AC246 R247:AC247 R248:AC248 R266:AC266 R267:AC267 R268:AC268 R269:AC269 R270:AC270 R271:AC271 R272:AC272 R273:AC273 R274:AC274 R275:AC275 R276:AC276 R277:AC277 R278:AC278 R279:AC279 R281:AC281 R282:AC282 R283:AC283 R284:AC284 R285:AC285 R286:AC286 R287:AC287 R288:AC288 R289:AC289 R290:AC290 R291:AC291 R292:AC292 R293:AC293 R294:AC294 R296:AC296 R297:AC297 R298:AC298 R299:AC299 R300:AC300 R301:AC301 R302:AC302 R303:AC303 R304:AC304 R305:AC305 R306:AC306 R307:AC307 R308:AC308 R309:AC309 R311:AC311 R312:AC312 R313:AC313 R314:AC314 R315:AC315 R316:AC316 R317:AC317 R318:AC318 R319:AC319 R320:AC320 R321:AC321 R322:AC322 R323:AC323 R324:AC324 R326:AC326 R327:AC327 R328:AC328 R329:AC329 R330:AC330 R331:AC331 R332:AC332 R333:AC333 R334:AC334 R335:AC335 R336:AC336 R337:AC337 R338:AC338 R339:AC339 R341:AC341 R342:AC342 R343:AC343 R344:AC344 R345:AC345 R346:AC346 R347:AC347 R348:AC348 R349:AC349 R350:AC350 R351:AC351 R352:AC352 R353:AC353 R354:AC354 R356:AC356 R357:AC357 R358:AC358 R359:AC359 R360:AC360 R361:AC361 R362:AC362 R363:AC363 R364:AC364 R365:AC365 R366:AC366 R367:AC367 R368:AC368 R369:AC369 R387:AC387 R388:AC388 R389:AC389 R390:AC390 R391:AC391 R392:AC392 R393:AC393 R394:AC394 R395:AC395 R396:AC396 R397:AC397 R398:AC398 R399:AC399 R400:AC400 R402:AC402 R403:AC403 R404:AC404 R405:AC405 R406:AC406 R407:AC407 R408:AC408 R409:AC409 R410:AC410 R411:AC411 R412:AC412 R413:AC413 R414:AC414 R415:AC415 R417:AC417 R418:AC418 R419:AC419 R420:AC420 R421:AC421 R422:AC422 R423:AC423 R424:AC424 R425:AC425 R426:AC426 R427:AC427 R428:AC428 R429:AC429 R430:AC430 R432:AC432 R433:AC433 R434:AC434 R435:AC435 R436:AC436 R437:AC437 R438:AC438 R439:AC439 R440:AC440 R441:AC441 R442:AC442 R443:AC443 R444:AC444 R445:AC445 R447:AC447 R448:AC448 R449:AC449 R450:AC450 R451:AC451 R452:AC452 R453:AC453 R454:AC454 R455:AC455 R456:AC456 R457:AC457 R458:AC458 R459:AC459 R460:AC460 R462:AC462 R463:AC463 R464:AC464 R465:AC465 R466:AC466 R467:AC467 R468:AC468 R469:AC469 R470:AC470 R471:AC471 R472:AC472 R473:AC473 R474:AC474 R475:AC475 R477:AC477 R478:AC478 R479:AC479 R480:AC480 R481:AC481 R482:AC482 R483:AC483 R484:AC484 R485:AC485 R486:AC486 R487:AC487 R488:AC488 R489:AC489 R490:AC490 R508:AC508 R509:AC509 R510:AC510 R511:AC511 R512:AC512 R513:AC513 R514:AC514 R515:AC515 R516:AC516 R517:AC517 R518:AC518 R519:AC519 R520:AC520 R521:AC521 R523:AC523 R524:AC524 R525:AC525 R526:AC526 R527:AC527 R528:AC528 R529:AC529 R530:AC530 R531:AC531 R532:AC532 R533:AC533 R534:AC534 R535:AC535 R536:AC536 R538:AC538 R539:AC539 R540:AC540 R541:AC541 R542:AC542 R543:AC543 R544:AC544 R545:AC545 R546:AC546 R547:AC547 R548:AC548 R549:AC549 R550:AC550 R551:AC551 R553:AC553 R554:AC554 R555:AC555 R556:AC556 R557:AC557 R558:AC558 R559:AC559 R560:AC560 R561:AC561 R562:AC562 R563:AC563 R564:AC564 R565:AC565 R566:AC566 R568:AC568 R569:AC569 R570:AC570 R571:AC571 R572:AC572 R573:AC573 R574:AC574 R575:AC575 R576:AC576 R577:AC577 R578:AC578 R579:AC579 R580:AC580 R581:AC581 R583:AC583 R584:AC584 R585:AC585 R586:AC586 R587:AC587 R588:AC588 R589:AC589 R590:AC590 R591:AC591 R592:AC592 R593:AC593 R594:AC594 R595:AC595 R596:AC596 R598:AC598 R599:AC599 R600:AC600 R601:AC601 R602:AC602 R603:AC603 R604:AC604 R605:AC605 R606:AC606 R607:AC607 R608:AC608 R609:AC609 R610:AC610 R611:AC611 R629:AC629 R630:AC630 R631:AC631 R632:AC632 R633:AC633 R634:AC634 R635:AC635 R636:AC636 R637:AC637 R638:AC638 R639:AC639 R640:AC640 R641:AC641 R642:AC642 R644:AC644 R645:AC645 R646:AC646 R647:AC647 R648:AC648 R649:AC649 R650:AC650 R651:AC651 R652:AC652 R653:AC653 R654:AC654 R655:AC655 R656:AC656 R657:AC657 R659:AC659 R660:AC660 R661:AC661 R662:AC662 R663:AC663 R664:AC664 R665:AC665 R666:AC666 R667:AC667 R668:AC668 R669:AC669 R670:AC670 R671:AC671 R672:AC672 R674:AC674 R675:AC675 R676:AC676 R677:AC677 R678:AC678 R679:AC679 R680:AC680 R681:AC681 R682:AC682 R683:AC683 R684:AC684 R685:AC685 R686:AC686 R687:AC687 R689:AC689 R690:AC690 R691:AC691 R692:AC692 R693:AC693 R694:AC694 R695:AC695 R696:AC696 R697:AC697 R698:AC698 R699:AC699 R700:AC700 R701:AC701 R702:AC702 R704:AC704 R705:AC705 R706:AC706 R707:AC707 R708:AC708 R709:AC709 R710:AC710 R711:AC711 R712:AC712 R713:AC713 R714:AC714 R715:AC715 R716:AC716 R717:AC717 R719:AC719 R720:AC720 R721:AC721 R722:AC722 R723:AC723 R724:AC724 R725:AC725 R726:AC726 R727:AC727 R728:AC728 R729:AC729 R730:AC730 R731:AC731 R732:AC732 R750:AC750 R751:AC751 R752:AC752 R753:AC753 R754:AC754 R755:AC755 R756:AC756 R757:AC757 R758:AC758 R759:AC759 R760:AC760 R761:AC761 R762:AC762 R763:AC763 R765:AC765 R766:AC766 R767:AC767 R768:AC768 R769:AC769 R770:AC770 R771:AC771 R772:AC772 R773:AC773 R774:AC774 R775:AC775 R776:AC776 R777:AC777 R778:AC778 R780:AC780 R781:AC781 R782:AC782 R783:AC783 R784:AC784 R785:AC785 R786:AC786 R787:AC787 R788:AC788 R789:AC789 R790:AC790 R791:AC791 R792:AC792 R793:AC793 R795:AC795 R796:AC796 R797:AC797 R798:AC798 R799:AC799 R800:AC800 R801:AC801 R802:AC802 R803:AC803 R804:AC804 R805:AC805 R806:AC806 R807:AC807 R808:AC808 R810:AC810 R811:AC811 R812:AC812 R813:AC813 R814:AC814 R815:AC815 R816:AC816 R817:AC817 R818:AC818 R819:AC819 R820:AC820 R821:AC821 R822:AC822 R823:AC823 R825:AC825 R826:AC826 R827:AC827 R828:AC828 R829:AC829 R830:AC830 R831:AC831 R832:AC832 R833:AC833 R834:AC834 R835:AC835 R836:AC836 R837:AC837 R838:AC838 R840:AC840 R841:AC841 R842:AC842 R843:AC843 R844:AC844 R845:AC845 R846:AC846 R847:AC847 R848:AC848 R849:AC849 R850:AC850 R851:AC851 R852:AC852 R853:AC853 R871:AC871 R872:AC872 R873:AC873 R874:AC874 R875:AC875 R876:AC876 R877:AC877 R878:AC878 R879:AC879 R880:AC880 R881:AC881 R882:AC882 R883:AC883 R884:AC884 R886:AC886 R887:AC887 R888:AC888 R889:AC889 R890:AC890 R891:AC891 R892:AC892 R893:AC893 R894:AC894 R895:AC895 R896:AC896 R897:AC897 R898:AC898 R899:AC899 R901:AC901 R902:AC902 R903:AC903 R904:AC904 R905:AC905 R906:AC906 R907:AC907 R908:AC908 R909:AC909 R910:AC910 R911:AC911 R912:AC912 R913:AC913 R914:AC914 R916:AC916 R917:AC917 R918:AC918 R919:AC919 R920:AC920 R921:AC921 R922:AC922 R923:AC923 R924:AC924 R925:AC925 R926:AC926 R927:AC927 R928:AC928 R929:AC929 R931:AC931 R932:AC932 R933:AC933 R934:AC934 R935:AC935 R936:AC936 R937:AC937 R938:AC938 R939:AC939 R940:AC940 R941:AC941 R942:AC942 R943:AC943 R944:AC944 R946:AC946 R947:AC947 R948:AC948 R949:AC949 R950:AC950 R951:AC951 R952:AC952 R953:AC953 R954:AC954 R955:AC955 R956:AC956 R957:AC957 R958:AC958 R959:AC959 R961:AC961 R962:AC962 R963:AC963 R964:AC964 R965:AC965 R966:AC966 R967:AC967 R968:AC968 R969:AC969 R970:AC970 R971:AC971 R972:AC972 R973:AC973 R974:AC974 R992:AC992 R993:AC993 R994:AC994 R995:AC995 R996:AC996 R997:AC997 R998:AC998 R999:AC999 R1000:AC1000 R1001:AC1001 R1002:AC1002 R1003:AC1003 R1004:AC1004 R1005:AC1005 R1007:AC1007 R1008:AC1008 R1009:AC1009 R1010:AC1010 R1011:AC1011 R1012:AC1012 R1013:AC1013 R1014:AC1014 R1015:AC1015 R1016:AC1016 R1017:AC1017 R1018:AC1018 R1019:AC1019 R1020:AC1020 R1022:AC1022 R1023:AC1023 R1024:AC1024 R1025:AC1025 R1026:AC1026 R1027:AC1027 R1028:AC1028 R1029:AC1029 R1030:AC1030 R1031:AC1031 R1032:AC1032 R1033:AC1033 R1034:AC1034 R1035:AC1035 R1037:AC1037 R1038:AC1038 R1039:AC1039 R1040:AC1040 R1041:AC1041 R1042:AC1042 R1043:AC1043 R1044:AC1044 R1045:AC1045 R1046:AC1046 R1047:AC1047 R1048:AC1048 R1049:AC1049 R1050:AC1050 R1052:AC1052 R1053:AC1053 R1054:AC1054 R1055:AC1055 R1056:AC1056 R1057:AC1057 R1058:AC1058 R1059:AC1059 R1060:AC1060 R1061:AC1061 R1062:AC1062 R1063:AC1063 R1064:AC1064 R1065:AC1065 R1067:AC1067 R1068:AC1068 R1069:AC1069 R1070:AC1070 R1071:AC1071 R1072:AC1072 R1073:AC1073 R1074:AC1074 R1075:AC1075 R1076:AC1076 R1077:AC1077 R1078:AC1078 R1079:AC1079 R1080:AC1080 R1082:AC1082 R1083:AC1083 R1084:AC1084 R1085:AC1085 R1086:AC1086 R1087:AC1087 R1088:AC1088 R1089:AC1089 R1090:AC1090 R1091:AC1091 R1092:AC1092 R1093:AC1093 R1094:AC1094 R1095:AC1095 R1115:AC1115 R1116:AC1116 R1117:AC1117 R1118:AC1118 R1119:AC1119 R1120:AC1120 R1121:AC1121 R1122:AC1122 R1123:AC1123 R1124:AC1124 R1125:AC1125 R1126:AC1126 R1127:AC1127 R1128:AC1128 R1130:AC1130 R1131:AC1131 R1132:AC1132 R1133:AC1133 R1134:AC1134 R1135:AC1135 R1136:AC1136 R1137:AC1137 R1138:AC1138 R1139:AC1139 R1140:AC1140 R1141:AC1141 R1142:AC1142 R1143:AC1143 R1145:AC1145 R1146:AC1146 R1147:AC1147 R1148:AC1148 R1149:AC1149 R1150:AC1150 R1151:AC1151 R1152:AC1152 R1153:AC1153 R1154:AC1154 R1155:AC1155 R1156:AC1156 R1157:AC1157 R1158:AC1158 R1160:AC1160 R1161:AC1161 R1162:AC1162 R1163:AC1163 R1164:AC1164 R1165:AC1165 R1166:AC1166 R1167:AC1167 R1168:AC1168 R1169:AC1169 R1170:AC1170 R1171:AC1171 R1172:AC1172 R1173:AC1173 R1175:AC1175 R1176:AC1176 R1177:AC1177 R1178:AC1178 R1179:AC1179 R1180:AC1180 R1181:AC1181 R1182:AC1182 R1183:AC1183 R1184:AC1184 R1185:AC1185 R1186:AC1186 R1187:AC1187 R1188:AC1188 R1190:AC1190 R1191:AC1191 R1192:AC1192 R1193:AC1193 R1194:AC1194 R1195:AC1195 R1196:AC1196 R1197:AC1197 R1198:AC1198 R1199:AC1199 R1200:AC1200 R1201:AC1201 R1202:AC1202 R1203:AC1203 R1205:AC1205 R1206:AC1206 R1207:AC1207 R1208:AC1208 R1209:AC1209 R1210:AC1210 R1211:AC1211 R1212:AC1212 R1213:AC1213 R1214:AC1214 R1215:AC1215 R1216:AC1216 R1217:AC1217 R1218:AC1218 R1236:AC1236 R1237:AC1237 R1238:AC1238 R1239:AC1239 R1240:AC1240 R1241:AC1241 R1242:AC1242 R1243:AC1243 R1244:AC1244 R1245:AC1245 R1246:AC1246 R1247:AC1247 R1248:AC1248 R1249:AC1249 R1251:AC1251 R1252:AC1252 R1253:AC1253 R1254:AC1254 R1255:AC1255 R1256:AC1256 R1257:AC1257 R1258:AC1258 R1259:AC1259 R1260:AC1260 R1261:AC1261 R1262:AC1262 R1263:AC1263 R1264:AC1264 R1266:AC1266 R1267:AC1267 R1268:AC1268 R1269:AC1269 R1270:AC1270 R1271:AC1271 R1272:AC1272 R1273:AC1273 R1274:AC1274 R1275:AC1275 R1276:AC1276 R1277:AC1277 R1278:AC1278 R1279:AC1279 R1281:AC1281 R1282:AC1282 R1283:AC1283 R1284:AC1284 R1285:AC1285 R1286:AC1286 R1287:AC1287 R1288:AC1288 R1289:AC1289 R1290:AC1290 R1291:AC1291 R1292:AC1292 R1293:AC1293 R1294:AC1294 R1296:AC1296 R1297:AC1297 R1298:AC1298 R1299:AC1299 R1300:AC1300 R1301:AC1301 R1302:AC1302 R1303:AC1303 R1304:AC1304 R1305:AC1305 R1306:AC1306 R1307:AC1307 R1308:AC1308 R1309:AC1309 R1311:AC1311 R1312:AC1312 R1313:AC1313 R1314:AC1314 R1315:AC1315 R1316:AC1316 R1317:AC1317 R1318:AC1318 R1319:AC1319 R1320:AC1320 R1321:AC1321 R1322:AC1322 R1323:AC1323 R1324:AC1324 R1326:AC1326 R1327:AC1327 R1328:AC1328 R1329:AC1329 R1330:AC1330 R1331:AC1331 R1332:AC1332 R1333:AC1333 R1334:AC1334 R1335:AC1335 R1336:AC1336 R1337:AC1337 R1338:AC1338 R1339:AC1339 R1357:AC1357 R1358:AC1358 R1359:AC1359 R1360:AC1360 R1361:AC1361 R1362:AC1362 R1363:AC1363 R1364:AC1364 R1365:AC1365 R1366:AC1366 R1367:AC1367 R1368:AC1368 R1369:AC1369 R1370:AC1370 R1372:AC1372 R1373:AC1373 R1374:AC1374 R1375:AC1375 R1376:AC1376 R1377:AC1377 R1378:AC1378 R1379:AC1379 R1380:AC1380 R1381:AC1381 R1382:AC1382 R1383:AC1383 R1384:AC1384 R1385:AC1385 R1387:AC1387 R1388:AC1388 R1389:AC1389 R1390:AC1390 R1391:AC1391 R1392:AC1392 R1393:AC1393 R1394:AC1394 R1395:AC1395 R1396:AC1396 R1397:AC1397 R1398:AC1398 R1399:AC1399 R1400:AC1400 R1402:AC1402 R1403:AC1403 R1404:AC1404 R1405:AC1405 R1406:AC1406 R1407:AC1407 R1408:AC1408 R1409:AC1409 R1410:AC1410 R1411:AC1411 R1412:AC1412 R1413:AC1413 R1414:AC1414 R1415:AC1415 R1417:AC1417 R1418:AC1418 R1419:AC1419 R1420:AC1420 R1421:AC1421 R1422:AC1422 R1423:AC1423 R1424:AC1424 R1425:AC1425 R1426:AC1426 R1427:AC1427 R1428:AC1428 R1429:AC1429 R1430:AC1430 R1432:AC1432 R1433:AC1433 R1434:AC1434 R1435:AC1435 R1436:AC1436 R1437:AC1437 R1438:AC1438 R1439:AC1439 R1440:AC1440 R1441:AC1441 R1442:AC1442 R1443:AC1443 R1444:AC1444 R1445:AC1445 R1447:AC1447 R1448:AC1448 R1449:AC1449 R1450:AC1450 R1451:AC1451 R1452:AC1452 R1453:AC1453 R1454:AC1454 R1455:AC1455 R1456:AC1456 R1457:AC1457 R1458:AC1458 R1459:AC1459 R1460:AC1460 R1478:AC1478 R1479:AC1479 R1480:AC1480 R1481:AC1481 R1482:AC1482 R1483:AC1483 R1484:AC1484 R1485:AC1485 R1486:AC1486 R1487:AC1487 R1488:AC1488 R1489:AC1489 R1490:AC1490 R1491:AC1491 R1493:AC1493 R1494:AC1494 R1495:AC1495 R1496:AC1496 R1497:AC1497 R1498:AC1498 R1499:AC1499 R1500:AC1500 R1501:AC1501 R1502:AC1502 R1503:AC1503 R1504:AC1504 R1505:AC1505 R1506:AC1506 R1508:AC1508 R1509:AC1509 R1510:AC1510 R1511:AC1511 R1512:AC1512 R1513:AC1513 R1514:AC1514 R1515:AC1515 R1516:AC1516 R1517:AC1517 R1518:AC1518 R1519:AC1519 R1520:AC1520 R1521:AC1521 R1523:AC1523 R1524:AC1524 R1525:AC1525 R1526:AC1526 R1527:AC1527 R1528:AC1528 R1529:AC1529 R1530:AC1530 R1531:AC1531 R1532:AC1532 R1533:AC1533 R1534:AC1534 R1535:AC1535 R1536:AC1536 R1538:AC1538 R1539:AC1539 R1540:AC1540 R1541:AC1541 R1542:AC1542 R1543:AC1543 R1544:AC1544 R1545:AC1545 R1546:AC1546 R1547:AC1547 R1548:AC1548 R1549:AC1549 R1550:AC1550 R1551:AC1551 R1553:AC1553 R1554:AC1554 R1555:AC1555 R1556:AC1556 R1557:AC1557 R1558:AC1558 R1559:AC1559 R1560:AC1560 R1561:AC1561 R1562:AC1562 R1563:AC1563 R1564:AC1564 R1565:AC1565 R1566:AC1566 R1568:AC1568 R1569:AC1569 R1570:AC1570 R1571:AC1571 R1572:AC1572 R1573:AC1573 R1574:AC1574 R1575:AC1575 R1576:AC1576 R1577:AC1577 R1578:AC1578 R1579:AC1579 R1580:AC1580 R1581:AC1581 R1599:AC1599 R1600:AC1600 R1601:AC1601 R1602:AC1602 R1603:AC1603 R1604:AC1604 R1605:AC1605 R1606:AC1606 R1607:AC1607 R1608:AC1608 R1609:AC1609 R1610:AC1610 R1611:AC1611 R1612:AC1612 R1614:AC1614 R1615:AC1615 R1616:AC1616 R1617:AC1617 R1618:AC1618 R1619:AC1619 R1620:AC1620 R1621:AC1621 R1622:AC1622 R1623:AC1623 R1624:AC1624 R1625:AC1625 R1626:AC1626 R1627:AC1627 R1629:AC1629 R1630:AC1630 R1631:AC1631 R1632:AC1632 R1633:AC1633 R1634:AC1634 R1635:AC1635 R1636:AC1636 R1637:AC1637 R1638:AC1638 R1639:AC1639 R1640:AC1640 R1641:AC1641 R1642:AC1642 R1644:AC1644 R1645:AC1645 R1646:AC1646 R1647:AC1647 R1648:AC1648 R1649:AC1649 R1650:AC1650 R1651:AC1651 R1652:AC1652 R1653:AC1653 R1654:AC1654 R1655:AC1655 R1656:AC1656 R1657:AC1657 R1659:AC1659 R1660:AC1660 R1661:AC1661 R1662:AC1662 R1663:AC1663 R1664:AC1664 R1665:AC1665 R1666:AC1666 R1667:AC1667 R1668:AC1668 R1669:AC1669 R1670:AC1670 R1671:AC1671 R1672:AC1672 R1674:AC1674 R1675:AC1675 R1676:AC1676 R1677:AC1677 R1678:AC1678 R1679:AC1679 R1680:AC1680 R1681:AC1681 R1682:AC1682 R1683:AC1683 R1684:AC1684 R1685:AC1685 R1686:AC1686 R1687:AC1687 R1689:AC1689 R1690:AC1690 R1691:AC1691 R1692:AC1692 R1693:AC1693 R1694:AC1694 R1695:AC1695 R1696:AC1696 R1697:AC1697 R1698:AC1698 R1699:AC1699 R1700:AC1700 R1701:AC1701 R1702:AC1702 R1720:AC1720 R1721:AC1721 R1722:AC1722 R1723:AC1723 R1724:AC1724 R1725:AC1725 R1726:AC1726 R1727:AC1727 R1728:AC1728 R1729:AC1729 R1730:AC1730 R1731:AC1731 R1732:AC1732 R1733:AC1733 R1735:AC1735 R1736:AC1736 R1737:AC1737 R1738:AC1738 R1739:AC1739 R1740:AC1740 R1741:AC1741 R1742:AC1742 R1743:AC1743 R1744:AC1744 R1745:AC1745 R1746:AC1746 R1747:AC1747 R1748:AC1748 R1750:AC1750 R1751:AC1751 R1752:AC1752 R1753:AC1753 R1754:AC1754 R1755:AC1755 R1756:AC1756 R1757:AC1757 R1758:AC1758 R1759:AC1759 R1760:AC1760 R1761:AC1761 R1762:AC1762 R1763:AC1763 R1765:AC1765 R1766:AC1766 R1767:AC1767 R1768:AC1768 R1769:AC1769 R1770:AC1770 R1771:AC1771 R1772:AC1772 R1773:AC1773 R1774:AC1774 R1775:AC1775 R1776:AC1776 R1777:AC1777 R1778:AC1778 R1780:AC1780 R1781:AC1781 R1782:AC1782 R1783:AC1783 R1784:AC1784 R1785:AC1785 R1786:AC1786 R1787:AC1787 R1788:AC1788 R1789:AC1789 R1790:AC1790 R1791:AC1791 R1792:AC1792 R1793:AC1793 R1795:AC1795 R1796:AC1796 R1797:AC1797 R1798:AC1798 R1799:AC1799 R1800:AC1800 R1801:AC1801 R1802:AC1802 R1803:AC1803 R1804:AC1804 R1805:AC1805 R1806:AC1806 R1807:AC1807 R1808:AC1808 R1810:AC1810 R1811:AC1811 R1812:AC1812 R1813:AC1813 R1814:AC1814 R1815:AC1815 R1816:AC1816 R1817:AC1817 R1818:AC1818 R1819:AC1819 R1820:AC1820 R1821:AC1821 R1822:AC1822 R1823:AC1823 R1841:AC1841 R1842:AC1842 R1843:AC1843 R1844:AC1844 R1845:AC1845 R1846:AC1846 R1847:AC1847 R1848:AC1848 R1849:AC1849 R1850:AC1850 R1851:AC1851 R1852:AC1852 R1853:AC1853 R1854:AC1854 R1856:AC1856 R1857:AC1857 R1858:AC1858 R1859:AC1859 R1860:AC1860 R1861:AC1861 R1862:AC1862 R1863:AC1863 R1864:AC1864 R1865:AC1865 R1866:AC1866 R1867:AC1867 R1868:AC1868 R1869:AC1869 R1871:AC1871 R1872:AC1872 R1873:AC1873 R1874:AC1874 R1875:AC1875 R1876:AC1876 R1877:AC1877 R1878:AC1878 R1879:AC1879 R1880:AC1880 R1881:AC1881 R1882:AC1882 R1883:AC1883 R1884:AC1884 R1886:AC1886 R1887:AC1887 R1888:AC1888 R1889:AC1889 R1890:AC1890 R1891:AC1891 R1892:AC1892 R1893:AC1893 R1894:AC1894 R1895:AC1895 R1896:AC1896 R1897:AC1897 R1898:AC1898 R1899:AC1899 R1901:AC1901 R1902:AC1902 R1903:AC1903 R1904:AC1904 R1905:AC1905 R1906:AC1906 R1907:AC1907 R1908:AC1908 R1909:AC1909 R1910:AC1910 R1911:AC1911 R1912:AC1912 R1913:AC1913 R1914:AC1914 R1916:AC1916 R1917:AC1917 R1918:AC1918 R1919:AC1919 R1920:AC1920 R1921:AC1921 R1922:AC1922 R1923:AC1923 R1924:AC1924 R1925:AC1925 R1926:AC1926 R1927:AC1927 R1928:AC1928 R1929:AC1929 R1931:AC1931 R1932:AC1932 R1933:AC1933 R1934:AC1934 R1935:AC1935 R1936:AC1936 R1937:AC1937 R1938:AC1938 R1939:AC1939 R1940:AC1940 R1941:AC1941 R1942:AC1942 R1943:AC1943 R1944:AC1944 R1962:AC1962 R1963:AC1963 R1964:AC1964 R1965:AC1965 R1966:AC1966 R1967:AC1967 R1968:AC1968 R1969:AC1969 R1970:AC1970 R1971:AC1971 R1972:AC1972 R1973:AC1973 R1974:AC1974 R1975:AC1975 R1977:AC1977 R1978:AC1978 R1979:AC1979 R1980:AC1980 R1981:AC1981 R1982:AC1982 R1983:AC1983 R1984:AC1984 R1985:AC1985 R1986:AC1986 R1987:AC1987 R1988:AC1988 R1989:AC1989 R1990:AC1990 R1992:AC1992 R1993:AC1993 R1994:AC1994 R1995:AC1995 R1996:AC1996 R1997:AC1997 R1998:AC1998 R1999:AC1999 R2000:AC2000 R2001:AC2001 R2002:AC2002 R2003:AC2003 R2004:AC2004 R2005:AC2005 R2007:AC2007 R2008:AC2008 R2009:AC2009 R2010:AC2010 R2011:AC2011 R2012:AC2012 R2013:AC2013 R2014:AC2014 R2015:AC2015 R2016:AC2016 R2017:AC2017 R2018:AC2018 R2019:AC2019 R2020:AC2020 R2022:AC2022 R2023:AC2023 R2024:AC2024 R2025:AC2025 R2026:AC2026 R2027:AC2027 R2028:AC2028 R2029:AC2029 R2030:AC2030 R2031:AC2031 R2032:AC2032 R2033:AC2033 R2034:AC2034 R2035:AC2035 R2037:AC2037 R2038:AC2038 R2039:AC2039 R2040:AC2040 R2041:AC2041 R2042:AC2042 R2043:AC2043 R2044:AC2044 R2045:AC2045 R2046:AC2046 R2047:AC2047 R2048:AC2048 R2049:AC2049 R2050:AC2050 R2052:AC2052 R2053:AC2053 R2054:AC2054 R2055:AC2055 R2056:AC2056 R2057:AC2057 R2058:AC2058 R2059:AC2059 R2060:AC2060 R2061:AC2061 R2062:AC2062 R2063:AC2063 R2064:AC2064 R2065:AC2065 R2083:AC2083 R2084:AC2084 R2085:AC2085 R2086:AC2086 R2087:AC2087 R2088:AC2088 R2089:AC2089 R2090:AC2090 R2091:AC2091 R2092:AC2092 R2093:AC2093 R2094:AC2094 R2095:AC2095 R2096:AC2096 R2098:AC2098 R2099:AC2099 R2100:AC2100 R2101:AC2101 R2102:AC2102 R2103:AC2103 R2104:AC2104 R2105:AC2105 R2106:AC2106 R2107:AC2107 R2108:AC2108 R2109:AC2109 R2110:AC2110 R2111:AC2111 R2113:AC2113 R2114:AC2114 R2115:AC2115 R2116:AC2116 R2117:AC2117 R2118:AC2118 R2119:AC2119 R2120:AC2120 R2121:AC2121 R2122:AC2122 R2123:AC2123 R2124:AC2124 R2125:AC2125 R2126:AC2126 R2128:AC2128 R2129:AC2129 R2130:AC2130 R2131:AC2131 R2132:AC2132 R2133:AC2133 R2134:AC2134 R2135:AC2135 R2136:AC2136 R2137:AC2137 R2138:AC2138 R2139:AC2139 R2140:AC2140 R2141:AC2141 R2143:AC2143 R2144:AC2144 R2145:AC2145 R2146:AC2146 R2147:AC2147 R2148:AC2148 R2149:AC2149 R2150:AC2150 R2151:AC2151 R2152:AC2152 R2153:AC2153 R2154:AC2154 R2155:AC2155 R2156:AC2156 R2158:AC2158 R2159:AC2159 R2160:AC2160 R2161:AC2161 R2162:AC2162 R2163:AC2163 R2164:AC2164 R2165:AC2165 R2166:AC2166 R2167:AC2167 R2168:AC2168 R2169:AC2169 R2170:AC2170 R2171:AC2171 R2173:AC2173 R2174:AC2174 R2175:AC2175 R2176:AC2176 R2177:AC2177 R2178:AC2178 R2179:AC2179 R2180:AC2180 R2181:AC2181 R2182:AC2182 R2183:AC2183 R2184:AC2184 R2185:AC2185 R2186:AC2186 R2206:AC2206 R2207:AC2207 R2208:AC2208 R2209:AC2209 R2210:AC2210 R2211:AC2211 R2212:AC2212 R2213:AC2213 R2214:AC2214 R2215:AC2215 R2216:AC2216 R2217:AC2217 R2218:AC2218 R2219:AC2219 R2221:AC2221 R2222:AC2222 R2223:AC2223 R2224:AC2224 R2225:AC2225 R2226:AC2226 R2227:AC2227 R2228:AC2228 R2229:AC2229 R2230:AC2230 R2231:AC2231 R2232:AC2232 R2233:AC2233 R2234:AC2234 R2236:AC2236 R2237:AC2237 R2238:AC2238 R2239:AC2239 R2240:AC2240 R2241:AC2241 R2242:AC2242 R2243:AC2243 R2244:AC2244 R2245:AC2245 R2246:AC2246 R2247:AC2247 R2248:AC2248 R2249:AC2249 R2251:AC2251 R2252:AC2252 R2253:AC2253 R2254:AC2254 R2255:AC2255 R2256:AC2256 R2257:AC2257 R2258:AC2258 R2259:AC2259 R2260:AC2260 R2261:AC2261 R2262:AC2262 R2263:AC2263 R2264:AC2264 R2266:AC2266 R2267:AC2267 R2268:AC2268 R2269:AC2269 R2270:AC2270 R2271:AC2271 R2272:AC2272 R2273:AC2273 R2274:AC2274 R2275:AC2275 R2276:AC2276 R2277:AC2277 R2278:AC2278 R2279:AC2279 R2281:AC2281 R2282:AC2282 R2283:AC2283 R2284:AC2284 R2285:AC2285 R2286:AC2286 R2287:AC2287 R2288:AC2288 R2289:AC2289 R2290:AC2290 R2291:AC2291 R2292:AC2292 R2293:AC2293 R2294:AC2294 R2296:AC2296 R2297:AC2297 R2298:AC2298 R2299:AC2299 R2300:AC2300 R2301:AC2301 R2302:AC2302 R2303:AC2303 R2304:AC2304 R2305:AC2305 R2306:AC2306 R2307:AC2307 R2308:AC2308 R2309:AC2309 R2327:AC2327 R2328:AC2328 R2329:AC2329 R2330:AC2330 R2331:AC2331 R2332:AC2332 R2333:AC2333 R2334:AC2334 R2335:AC2335 R2336:AC2336 R2337:AC2337 R2338:AC2338 R2339:AC2339 R2340:AC2340 R2342:AC2342 R2343:AC2343 R2344:AC2344 R2345:AC2345 R2346:AC2346 R2347:AC2347 R2348:AC2348 R2349:AC2349 R2350:AC2350 R2351:AC2351 R2352:AC2352 R2353:AC2353 R2354:AC2354 R2355:AC2355 R2357:AC2357 R2358:AC2358 R2359:AC2359 R2360:AC2360 R2361:AC2361 R2362:AC2362 R2363:AC2363 R2364:AC2364 R2365:AC2365 R2366:AC2366 R2367:AC2367 R2368:AC2368 R2369:AC2369 R2370:AC2370 R2372:AC2372 R2373:AC2373 R2374:AC2374 R2375:AC2375 R2376:AC2376 R2377:AC2377 R2378:AC2378 R2379:AC2379 R2380:AC2380 R2381:AC2381 R2382:AC2382 R2383:AC2383 R2384:AC2384 R2385:AC2385 R2387:AC2387 R2388:AC2388 R2389:AC2389 R2390:AC2390 R2391:AC2391 R2392:AC2392 R2393:AC2393 R2394:AC2394 R2395:AC2395 R2396:AC2396 R2397:AC2397 R2398:AC2398 R2399:AC2399 R2400:AC2400 R2402:AC2402 R2403:AC2403 R2404:AC2404 R2405:AC2405 R2406:AC2406 R2407:AC2407 R2408:AC2408 R2409:AC2409 R2410:AC2410 R2411:AC2411 R2412:AC2412 R2413:AC2413 R2414:AC2414 R2415:AC2415 R2417:AC2417 R2418:AC2418 R2419:AC2419 R2420:AC2420 R2421:AC2421 R2422:AC2422 R2423:AC2423 R2424:AC2424 R2425:AC2425 R2426:AC2426 R2427:AC2427 R2428:AC2428 R2429:AC2429 R2430:AC2430 R2448:AC2448 R2449:AC2449 R2450:AC2450 R2451:AC2451 R2452:AC2452 R2453:AC2453 R2454:AC2454 R2455:AC2455 R2456:AC2456 R2457:AC2457 R2458:AC2458 R2459:AC2459 R2460:AC2460 R2461:AC2461 R2463:AC2463 R2464:AC2464 R2465:AC2465 R2466:AC2466 R2467:AC2467 R2468:AC2468 R2469:AC2469 R2470:AC2470 R2471:AC2471 R2472:AC2472 R2473:AC2473 R2474:AC2474 R2475:AC2475 R2476:AC2476 R2478:AC2478 R2479:AC2479 R2480:AC2480 R2481:AC2481 R2482:AC2482 R2483:AC2483 R2484:AC2484 R2485:AC2485 R2486:AC2486 R2487:AC2487 R2488:AC2488 R2489:AC2489 R2490:AC2490 R2491:AC2491 R2493:AC2493 R2494:AC2494 R2495:AC2495 R2496:AC2496 R2497:AC2497 R2498:AC2498 R2499:AC2499 R2500:AC2500 R2501:AC2501 R2502:AC2502 R2503:AC2503 R2504:AC2504 R2505:AC2505 R2506:AC2506 R2508:AC2508 R2509:AC2509 R2510:AC2510 R2511:AC2511 R2512:AC2512 R2513:AC2513 R2514:AC2514 R2515:AC2515 R2516:AC2516 R2517:AC2517 R2518:AC2518 R2519:AC2519 R2520:AC2520 R2521:AC2521 R2523:AC2523 R2524:AC2524 R2525:AC2525 R2526:AC2526 R2527:AC2527 R2528:AC2528 R2529:AC2529 R2530:AC2530 R2531:AC2531 R2532:AC2532 R2533:AC2533 R2534:AC2534 R2535:AC2535 R2536:AC2536 R2538:AC2538 R2539:AC2539 R2540:AC2540 R2541:AC2541 R2542:AC2542 R2543:AC2543 R2544:AC2544 R2545:AC2545 R2546:AC2546 R2547:AC2547 R2548:AC2548 R2549:AC2549 R2550:AC2550 R2551:AC2551 R2569:AC2569 R2570:AC2570 R2571:AC2571 R2572:AC2572 R2573:AC2573 R2574:AC2574 R2575:AC2575 R2576:AC2576 R2577:AC2577 R2578:AC2578 R2579:AC2579 R2580:AC2580 R2581:AC2581 R2582:AC2582 R2584:AC2584 R2585:AC2585 R2586:AC2586 R2587:AC2587 R2588:AC2588 R2589:AC2589 R2590:AC2590 R2591:AC2591 R2592:AC2592 R2593:AC2593 R2594:AC2594 R2595:AC2595 R2596:AC2596 R2597:AC2597 R2599:AC2599 R2600:AC2600 R2601:AC2601 R2602:AC2602 R2603:AC2603 R2604:AC2604 R2605:AC2605 R2606:AC2606 R2607:AC2607 R2608:AC2608 R2609:AC2609 R2610:AC2610 R2611:AC2611 R2612:AC2612 R2614:AC2614 R2615:AC2615 R2616:AC2616 R2617:AC2617 R2618:AC2618 R2619:AC2619 R2620:AC2620 R2621:AC2621 R2622:AC2622 R2623:AC2623 R2624:AC2624 R2625:AC2625 R2626:AC2626 R2627:AC2627 R2629:AC2629 R2630:AC2630 R2631:AC2631 R2632:AC2632 R2633:AC2633 R2634:AC2634 R2635:AC2635 R2636:AC2636 R2637:AC2637 R2638:AC2638 R2639:AC2639 R2640:AC2640 R2641:AC2641 R2642:AC2642 R2644:AC2644 R2645:AC2645 R2646:AC2646 R2647:AC2647 R2648:AC2648 R2649:AC2649 R2650:AC2650 R2651:AC2651 R2652:AC2652 R2653:AC2653 R2654:AC2654 R2655:AC2655 R2656:AC2656 R2657:AC2657 R2659:AC2659 R2660:AC2660 R2661:AC2661 R2662:AC2662 R2663:AC2663 R2664:AC2664 R2665:AC2665 R2666:AC2666 R2667:AC2667 R2668:AC2668 R2669:AC2669 R2670:AC2670 R2671:AC2671 R2672:AC2672 R2690:AC2690 R2691:AC2691 R2692:AC2692 R2693:AC2693 R2694:AC2694 R2695:AC2695 R2696:AC2696 R2697:AC2697 R2698:AC2698 R2699:AC2699 R2700:AC2700 R2701:AC2701 R2702:AC2702 R2703:AC2703 R2705:AC2705 R2706:AC2706 R2707:AC2707 R2708:AC2708 R2709:AC2709 R2710:AC2710 R2711:AC2711 R2712:AC2712 R2713:AC2713 R2714:AC2714 R2715:AC2715 R2716:AC2716 R2717:AC2717 R2718:AC2718 R2720:AC2720 R2721:AC2721 R2722:AC2722 R2723:AC2723 R2724:AC2724 R2725:AC2725 R2726:AC2726 R2727:AC2727 R2728:AC2728 R2729:AC2729 R2730:AC2730 R2731:AC2731 R2732:AC2732 R2733:AC2733 R2735:AC2735 R2736:AC2736 R2737:AC2737 R2738:AC2738 R2739:AC2739 R2740:AC2740 R2741:AC2741 R2742:AC2742 R2743:AC2743 R2744:AC2744 R2745:AC2745 R2746:AC2746 R2747:AC2747 R2748:AC2748 R2750:AC2750 R2751:AC2751 R2752:AC2752 R2753:AC2753 R2754:AC2754 R2755:AC2755 R2756:AC2756 R2757:AC2757 R2758:AC2758 R2759:AC2759 R2760:AC2760 R2761:AC2761 R2762:AC2762 R2763:AC2763 R2765:AC2765 R2766:AC2766 R2767:AC2767 R2768:AC2768 R2769:AC2769 R2770:AC2770 R2771:AC2771 R2772:AC2772 R2773:AC2773 R2774:AC2774 R2775:AC2775 R2776:AC2776 R2777:AC2777 R2778:AC2778 R2780:AC2780 R2781:AC2781 R2782:AC2782 R2783:AC2783 R2784:AC2784 R2785:AC2785 R2786:AC2786 R2787:AC2787 R2788:AC2788 R2789:AC2789 R2790:AC2790 R2791:AC2791 R2792:AC2792 R2793:AC2793 R2811:AC2811 R2812:AC2812 R2813:AC2813 R2814:AC2814 R2815:AC2815 R2816:AC2816 R2817:AC2817 R2818:AC2818 R2819:AC2819 R2820:AC2820 R2821:AC2821 R2822:AC2822 R2823:AC2823 R2824:AC2824 R2826:AC2826 R2827:AC2827 R2828:AC2828 R2829:AC2829 R2830:AC2830 R2831:AC2831 R2832:AC2832 R2833:AC2833 R2834:AC2834 R2835:AC2835 R2836:AC2836 R2837:AC2837 R2838:AC2838 R2839:AC2839 R2841:AC2841 R2842:AC2842 R2843:AC2843 R2844:AC2844 R2845:AC2845 R2846:AC2846 R2847:AC2847 R2848:AC2848 R2849:AC2849 R2850:AC2850 R2851:AC2851 R2852:AC2852 R2853:AC2853 R2854:AC2854 R2856:AC2856 R2857:AC2857 R2858:AC2858 R2859:AC2859 R2860:AC2860 R2861:AC2861 R2862:AC2862 R2863:AC2863 R2864:AC2864 R2865:AC2865 R2866:AC2866 R2867:AC2867 R2868:AC2868 R2869:AC2869 R2871:AC2871 R2872:AC2872 R2873:AC2873 R2874:AC2874 R2875:AC2875 R2876:AC2876 R2877:AC2877 R2878:AC2878 R2879:AC2879 R2880:AC2880 R2881:AC2881 R2882:AC2882 R2883:AC2883 R2884:AC2884 R2886:AC2886 R2887:AC2887 R2888:AC2888 R2889:AC2889 R2890:AC2890 R2891:AC2891 R2892:AC2892 R2893:AC2893 R2894:AC2894 R2895:AC2895 R2896:AC2896 R2897:AC2897 R2898:AC2898 R2899:AC2899 R2901:AC2901 R2902:AC2902 R2903:AC2903 R2904:AC2904 R2905:AC2905 R2906:AC2906 R2907:AC2907 R2908:AC2908 R2909:AC2909 R2910:AC2910 R2911:AC2911 R2912:AC2912 R2913:AC2913 R2914:AC2914 R2932:AC2932 R2933:AC2933 R2934:AC2934 R2935:AC2935 R2936:AC2936 R2937:AC2937 R2938:AC2938 R2939:AC2939 R2940:AC2940 R2941:AC2941 R2942:AC2942 R2943:AC2943 R2944:AC2944 R2945:AC2945 R2947:AC2947 R2948:AC2948 R2949:AC2949 R2950:AC2950 R2951:AC2951 R2952:AC2952 R2953:AC2953 R2954:AC2954 R2955:AC2955 R2956:AC2956 R2957:AC2957 R2958:AC2958 R2959:AC2959 R2960:AC2960 R2962:AC2962 R2963:AC2963 R2964:AC2964 R2965:AC2965 R2966:AC2966 R2967:AC2967 R2968:AC2968 R2969:AC2969 R2970:AC2970 R2971:AC2971 R2972:AC2972 R2973:AC2973 R2974:AC2974 R2975:AC2975 R2977:AC2977 R2978:AC2978 R2979:AC2979 R2980:AC2980 R2981:AC2981 R2982:AC2982 R2983:AC2983 R2984:AC2984 R2985:AC2985 R2986:AC2986 R2987:AC2987 R2988:AC2988 R2989:AC2989 R2990:AC2990 R2992:AC2992 R2993:AC2993 R2994:AC2994 R2995:AC2995 R2996:AC2996 R2997:AC2997 R2998:AC2998 R2999:AC2999 R3000:AC3000 R3001:AC3001 R3002:AC3002 R3003:AC3003 R3004:AC3004 R3005:AC3005 R3007:AC3007 R3008:AC3008 R3009:AC3009 R3010:AC3010 R3011:AC3011 R3012:AC3012 R3013:AC3013 R3014:AC3014 R3015:AC3015 R3016:AC3016 R3017:AC3017 R3018:AC3018 R3019:AC3019 R3020:AC3020 R3022:AC3022 R3023:AC3023 R3024:AC3024 R3025:AC3025 R3026:AC3026 R3027:AC3027 R3028:AC3028 R3029:AC3029 R3030:AC3030 R3031:AC3031 R3032:AC3032 R3033:AC3033 R3034:AC3034 R3035:AC3035 R3053:AC3053 R3054:AC3054 R3055:AC3055 R3056:AC3056 R3057:AC3057 R3058:AC3058 R3059:AC3059 R3060:AC3060 R3061:AC3061 R3062:AC3062 R3063:AC3063 R3064:AC3064 R3065:AC3065 R3066:AC3066 R3068:AC3068 R3069:AC3069 R3070:AC3070 R3071:AC3071 R3072:AC3072 R3073:AC3073 R3074:AC3074 R3075:AC3075 R3076:AC3076 R3077:AC3077 R3078:AC3078 R3079:AC3079 R3080:AC3080 R3081:AC3081 R3083:AC3083 R3084:AC3084 R3085:AC3085 R3086:AC3086 R3087:AC3087 R3088:AC3088 R3089:AC3089 R3090:AC3090 R3091:AC3091 R3092:AC3092 R3093:AC3093 R3094:AC3094 R3095:AC3095 R3096:AC3096 R3098:AC3098 R3099:AC3099 R3100:AC3100 R3101:AC3101 R3102:AC3102 R3103:AC3103 R3104:AC3104 R3105:AC3105 R3106:AC3106 R3107:AC3107 R3108:AC3108 R3109:AC3109 R3110:AC3110 R3111:AC3111 R3113:AC3113 R3114:AC3114 R3115:AC3115 R3116:AC3116 R3117:AC3117 R3118:AC3118 R3119:AC3119 R3120:AC3120 R3121:AC3121 R3122:AC3122 R3123:AC3123 R3124:AC3124 R3125:AC3125 R3126:AC3126 R3128:AC3128 R3129:AC3129 R3130:AC3130 R3131:AC3131 R3132:AC3132 R3133:AC3133 R3134:AC3134 R3135:AC3135 R3136:AC3136 R3137:AC3137 R3138:AC3138 R3139:AC3139 R3140:AC3140 R3141:AC3141 R3143:AC3143 R3144:AC3144 R3145:AC3145 R3146:AC3146 R3147:AC3147 R3148:AC3148 R3149:AC3149 R3150:AC3150 R3151:AC3151 R3152:AC3152 R3153:AC3153 R3154:AC3154 R3155:AC3155 R3156:AC3156 R3174:AC3174 R3175:AC3175 R3176:AC3176 R3177:AC3177 R3178:AC3178 R3179:AC3179 R3180:AC3180 R3181:AC3181 R3182:AC3182 R3183:AC3183 R3184:AC3184 R3185:AC3185 R3186:AC3186 R3187:AC3187 R3189:AC3189 R3190:AC3190 R3191:AC3191 R3192:AC3192 R3193:AC3193 R3194:AC3194 R3195:AC3195 R3196:AC3196 R3197:AC3197 R3198:AC3198 R3199:AC3199 R3200:AC3200 R3201:AC3201 R3202:AC3202 R3204:AC3204 R3205:AC3205 R3206:AC3206 R3207:AC3207 R3208:AC3208 R3209:AC3209 R3210:AC3210 R3211:AC3211 R3212:AC3212 R3213:AC3213 R3214:AC3214 R3215:AC3215 R3216:AC3216 R3217:AC3217 R3219:AC3219 R3220:AC3220 R3221:AC3221 R3222:AC3222 R3223:AC3223 R3224:AC3224 R3225:AC3225 R3226:AC3226 R3227:AC3227 R3228:AC3228 R3229:AC3229 R3230:AC3230 R3231:AC3231 R3232:AC3232 R3234:AC3234 R3235:AC3235 R3236:AC3236 R3237:AC3237 R3238:AC3238 R3239:AC3239 R3240:AC3240 R3241:AC3241 R3242:AC3242 R3243:AC3243 R3244:AC3244 R3245:AC3245 R3246:AC3246 R3247:AC3247 R3249:AC3249 R3250:AC3250 R3251:AC3251 R3252:AC3252 R3253:AC3253 R3254:AC3254 R3255:AC3255 R3256:AC3256 R3257:AC3257 R3258:AC3258 R3259:AC3259 R3260:AC3260 R3261:AC3261 R3262:AC3262 R3264:AC3264 R3265:AC3265 R3266:AC3266 R3267:AC3267 R3268:AC3268 R3269:AC3269 R3270:AC3270 R3271:AC3271 R3272:AC3272 R3273:AC3273 R3274:AC3274 R3275:AC3275 R3276:AC3276 R3277:AC3277 R3297:AC3297 R3298:AC3298 R3299:AC3299 R3300:AC3300 R3301:AC3301 R3302:AC3302 R3303:AC3303 R3304:AC3304 R3305:AC3305 R3306:AC3306 R3307:AC3307 R3308:AC3308 R3309:AC3309 R3310:AC3310 R3312:AC3312 R3313:AC3313 R3314:AC3314 R3315:AC3315 R3316:AC3316 R3317:AC3317 R3318:AC3318 R3319:AC3319 R3320:AC3320 R3321:AC3321 R3322:AC3322 R3323:AC3323 R3324:AC3324 R3325:AC3325 R3327:AC3327 R3328:AC3328 R3329:AC3329 R3330:AC3330 R3331:AC3331 R3332:AC3332 R3333:AC3333 R3334:AC3334 R3335:AC3335 R3336:AC3336 R3337:AC3337 R3338:AC3338 R3339:AC3339 R3340:AC3340 R3342:AC3342 R3343:AC3343 R3344:AC3344 R3345:AC3345 R3346:AC3346 R3347:AC3347 R3348:AC3348 R3349:AC3349 R3350:AC3350 R3351:AC3351 R3352:AC3352 R3353:AC3353 R3354:AC3354 R3355:AC3355 R3357:AC3357 R3358:AC3358 R3359:AC3359 R3360:AC3360 R3361:AC3361 R3362:AC3362 R3363:AC3363 R3364:AC3364 R3365:AC3365 R3366:AC3366 R3367:AC3367 R3368:AC3368 R3369:AC3369 R3370:AC3370 R3372:AC3372 R3373:AC3373 R3374:AC3374 R3375:AC3375 R3376:AC3376 R3377:AC3377 R3378:AC3378 R3379:AC3379 R3380:AC3380 R3381:AC3381 R3382:AC3382 R3383:AC3383 R3384:AC3384 R3385:AC3385 R3387:AC3387 R3388:AC3388 R3389:AC3389 R3390:AC3390 R3391:AC3391 R3392:AC3392 R3393:AC3393 R3394:AC3394 R3395:AC3395 R3396:AC3396 R3397:AC3397 R3398:AC3398 R3399:AC3399 R3400:AC3400 R3418:AC3418 R3419:AC3419 R3420:AC3420 R3421:AC3421 R3422:AC3422 R3423:AC3423 R3424:AC3424 R3425:AC3425 R3426:AC3426 R3427:AC3427 R3428:AC3428 R3429:AC3429 R3430:AC3430 R3431:AC3431 R3433:AC3433 R3434:AC3434 R3435:AC3435 R3436:AC3436 R3437:AC3437 R3438:AC3438 R3439:AC3439 R3440:AC3440 R3441:AC3441 R3442:AC3442 R3443:AC3443 R3444:AC3444 R3445:AC3445 R3446:AC3446 R3448:AC3448 R3449:AC3449 R3450:AC3450 R3451:AC3451 R3452:AC3452 R3453:AC3453 R3454:AC3454 R3455:AC3455 R3456:AC3456 R3457:AC3457 R3458:AC3458 R3459:AC3459 R3460:AC3460 R3461:AC3461 R3463:AC3463 R3464:AC3464 R3465:AC3465 R3466:AC3466 R3467:AC3467 R3468:AC3468 R3469:AC3469 R3470:AC3470 R3471:AC3471 R3472:AC3472 R3473:AC3473 R3474:AC3474 R3475:AC3475 R3476:AC3476 R3478:AC3478 R3479:AC3479 R3480:AC3480 R3481:AC3481 R3482:AC3482 R3483:AC3483 R3484:AC3484 R3485:AC3485 R3486:AC3486 R3487:AC3487 R3488:AC3488 R3489:AC3489 R3490:AC3490 R3491:AC3491 R3493:AC3493 R3494:AC3494 R3495:AC3495 R3496:AC3496 R3497:AC3497 R3498:AC3498 R3499:AC3499 R3500:AC3500 R3501:AC3501 R3502:AC3502 R3503:AC3503 R3504:AC3504 R3505:AC3505 R3506:AC3506 R3508:AC3508 R3509:AC3509 R3510:AC3510 R3511:AC3511 R3512:AC3512 R3513:AC3513 R3514:AC3514 R3515:AC3515 R3516:AC3516 R3517:AC3517 R3518:AC3518 R3519:AC3519 R3520:AC3520 R3521:AC3521 R3539:AC3539 R3540:AC3540 R3541:AC3541 R3542:AC3542 R3543:AC3543 R3544:AC3544 R3545:AC3545 R3546:AC3546 R3547:AC3547 R3548:AC3548 R3549:AC3549 R3550:AC3550 R3551:AC3551 R3552:AC3552 R3554:AC3554 R3555:AC3555 R3556:AC3556 R3557:AC3557 R3558:AC3558 R3559:AC3559 R3560:AC3560 R3561:AC3561 R3562:AC3562 R3563:AC3563 R3564:AC3564 R3565:AC3565 R3566:AC3566 R3567:AC3567 R3569:AC3569 R3570:AC3570 R3571:AC3571 R3572:AC3572 R3573:AC3573 R3574:AC3574 R3575:AC3575 R3576:AC3576 R3577:AC3577 R3578:AC3578 R3579:AC3579 R3580:AC3580 R3581:AC3581 R3582:AC3582 R3584:AC3584 R3585:AC3585 R3586:AC3586 R3587:AC3587 R3588:AC3588 R3589:AC3589 R3590:AC3590 R3591:AC3591 R3592:AC3592 R3593:AC3593 R3594:AC3594 R3595:AC3595 R3596:AC3596 R3597:AC3597 R3599:AC3599 R3600:AC3600 R3601:AC3601 R3602:AC3602 R3603:AC3603 R3604:AC3604 R3605:AC3605 R3606:AC3606 R3607:AC3607 R3608:AC3608 R3609:AC3609 R3610:AC3610 R3611:AC3611 R3612:AC3612 R3614:AC3614 R3615:AC3615 R3616:AC3616 R3617:AC3617 R3618:AC3618 R3619:AC3619 R3620:AC3620 R3621:AC3621 R3622:AC3622 R3623:AC3623 R3624:AC3624 R3625:AC3625 R3626:AC3626 R3627:AC3627 R3629:AC3629 R3630:AC3630 R3631:AC3631 R3632:AC3632 R3633:AC3633 R3634:AC3634 R3635:AC3635 R3636:AC3636 R3637:AC3637 R3638:AC3638 R3639:AC3639 R3640:AC3640 R3641:AC3641 R3642:AC3642 R3660:AC3660 R3661:AC3661 R3662:AC3662 R3663:AC3663 R3664:AC3664 R3665:AC3665 R3666:AC3666 R3667:AC3667 R3668:AC3668 R3669:AC3669 R3670:AC3670 R3671:AC3671 R3672:AC3672 R3673:AC3673 R3675:AC3675 R3676:AC3676 R3677:AC3677 R3678:AC3678 R3679:AC3679 R3680:AC3680 R3681:AC3681 R3682:AC3682 R3683:AC3683 R3684:AC3684 R3685:AC3685 R3686:AC3686 R3687:AC3687 R3688:AC3688 R3690:AC3690 R3691:AC3691 R3692:AC3692 R3693:AC3693 R3694:AC3694 R3695:AC3695 R3696:AC3696 R3697:AC3697 R3698:AC3698 R3699:AC3699 R3700:AC3700 R3701:AC3701 R3702:AC3702 R3703:AC3703 R3705:AC3705 R3706:AC3706 R3707:AC3707 R3708:AC3708 R3709:AC3709 R3710:AC3710 R3711:AC3711 R3712:AC3712 R3713:AC3713 R3714:AC3714 R3715:AC3715 R3716:AC3716 R3717:AC3717 R3718:AC3718 R3720:AC3720 R3721:AC3721 R3722:AC3722 R3723:AC3723 R3724:AC3724 R3725:AC3725 R3726:AC3726 R3727:AC3727 R3728:AC3728 R3729:AC3729 R3730:AC3730 R3731:AC3731 R3732:AC3732 R3733:AC3733 R3735:AC3735 R3736:AC3736 R3737:AC3737 R3738:AC3738 R3739:AC3739 R3740:AC3740 R3741:AC3741 R3742:AC3742 R3743:AC3743 R3744:AC3744 R3745:AC3745 R3746:AC3746 R3747:AC3747 R3748:AC3748 R3750:AC3750 R3751:AC3751 R3752:AC3752 R3753:AC3753 R3754:AC3754 R3755:AC3755 R3756:AC3756 R3757:AC3757 R3758:AC3758 R3759:AC3759 R3760:AC3760 R3761:AC3761 R3762:AC3762 R3763:AC3763 R3781:AC3781 R3782:AC3782 R3783:AC3783 R3784:AC3784 R3785:AC3785 R3786:AC3786 R3787:AC3787 R3788:AC3788 R3789:AC3789 R3790:AC3790 R3791:AC3791 R3792:AC3792 R3793:AC3793 R3794:AC3794 R3796:AC3796 R3797:AC3797 R3798:AC3798 R3799:AC3799 R3800:AC3800 R3801:AC3801 R3802:AC3802 R3803:AC3803 R3804:AC3804 R3805:AC3805 R3806:AC3806 R3807:AC3807 R3808:AC3808 R3809:AC3809 R3811:AC3811 R3812:AC3812 R3813:AC3813 R3814:AC3814 R3815:AC3815 R3816:AC3816 R3817:AC3817 R3818:AC3818 R3819:AC3819 R3820:AC3820 R3821:AC3821 R3822:AC3822 R3823:AC3823 R3824:AC3824 R3826:AC3826 R3827:AC3827 R3828:AC3828 R3829:AC3829 R3830:AC3830 R3831:AC3831 R3832:AC3832 R3833:AC3833 R3834:AC3834 R3835:AC3835 R3836:AC3836 R3837:AC3837 R3838:AC3838 R3839:AC3839 R3841:AC3841 R3842:AC3842 R3843:AC3843 R3844:AC3844 R3845:AC3845 R3846:AC3846 R3847:AC3847 R3848:AC3848 R3849:AC3849 R3850:AC3850 R3851:AC3851 R3852:AC3852 R3853:AC3853 R3854:AC3854 R3856:AC3856 R3857:AC3857 R3858:AC3858 R3859:AC3859 R3860:AC3860 R3861:AC3861 R3862:AC3862 R3863:AC3863 R3864:AC3864 R3865:AC3865 R3866:AC3866 R3867:AC3867 R3868:AC3868 R3869:AC3869 R3871:AC3871 R3872:AC3872 R3873:AC3873 R3874:AC3874 R3875:AC3875 R3876:AC3876 R3877:AC3877 R3878:AC3878 R3879:AC3879 R3880:AC3880 R3881:AC3881 R3882:AC3882 R3883:AC3883 R3884:AC3884 R3902:AC3902 R3903:AC3903 R3904:AC3904 R3905:AC3905 R3906:AC3906 R3907:AC3907 R3908:AC3908 R3909:AC3909 R3910:AC3910 R3911:AC3911 R3912:AC3912 R3913:AC3913 R3914:AC3914 R3915:AC3915 R3917:AC3917 R3918:AC3918 R3919:AC3919 R3920:AC3920 R3921:AC3921 R3922:AC3922 R3923:AC3923 R3924:AC3924 R3925:AC3925 R3926:AC3926 R3927:AC3927 R3928:AC3928 R3929:AC3929 R3930:AC3930 R3932:AC3932 R3933:AC3933 R3934:AC3934 R3935:AC3935 R3936:AC3936 R3937:AC3937 R3938:AC3938 R3939:AC3939 R3940:AC3940 R3941:AC3941 R3942:AC3942 R3943:AC3943 R3944:AC3944 R3945:AC3945 R3947:AC3947 R3948:AC3948 R3949:AC3949 R3950:AC3950 R3951:AC3951 R3952:AC3952 R3953:AC3953 R3954:AC3954 R3955:AC3955 R3956:AC3956 R3957:AC3957 R3958:AC3958 R3959:AC3959 R3960:AC3960 R3962:AC3962 R3963:AC3963 R3964:AC3964 R3965:AC3965 R3966:AC3966 R3967:AC3967 R3968:AC3968 R3969:AC3969 R3970:AC3970 R3971:AC3971 R3972:AC3972 R3973:AC3973 R3974:AC3974 R3975:AC3975 R3977:AC3977 R3978:AC3978 R3979:AC3979 R3980:AC3980 R3981:AC3981 R3982:AC3982 R3983:AC3983 R3984:AC3984 R3985:AC3985 R3986:AC3986 R3987:AC3987 R3988:AC3988 R3989:AC3989 R3990:AC3990 R3992:AC3992 R3993:AC3993 R3994:AC3994 R3995:AC3995 R3996:AC3996 R3997:AC3997 R3998:AC3998 R3999:AC3999 R4000:AC4000 R4001:AC4001 R4002:AC4002 R4003:AC4003 R4004:AC4004 R4005:AC4005 R4023:AC4023 R4024:AC4024 R4025:AC4025 R4026:AC4026 R4027:AC4027 R4028:AC4028 R4029:AC4029 R4030:AC4030 R4031:AC4031 R4032:AC4032 R4033:AC4033 R4034:AC4034 R4035:AC4035 R4036:AC4036 R4037:AC4037 R4038:AC4038 R4039:AC4039 R4040:AC4040 R4041:AC4041 R4042:AC4042 R4043:AC4043 R4044:AC4044 R4045:AC4045 R4046:AC4046 R4047:AC4047 R4048:AC4048 R4049:AC4049 R4050:AC4050 R4051:AC4051 R4052:AC4052 R4053:AC4053 R4054:AC4054 R4055:AC4055 R4056:AC4056 R4057:AC4057 R4058:AC4058 R4059:AC4059 R4060:AC4060 R4061:AC4061 R4062:AC4062 R4063:AC4063 R4064:AC4064 R4065:AC4065 R4066:AC4066 R4067:AC4067 R4068:AC4068 R4069:AC4069 R4070:AC4070 R4071:AC4071 R4072:AC4072 R4073:AC4073 R4074:AC4074 R4075:AC4075 R4076:AC4076 R4077:AC4077 R4078:AC4078 R4079:AC4079 R4080:AC4080 R4081:AC4081 R4082:AC4082 R4083:AC4083 R4084:AC4084 R4085:AC4085 R4086:AC4086 R4087:AC4087 R4088:AC4088 R4089:AC4089 R4090:AC4090 R4091:AC4091 R4092:AC4092 R4093:AC4093 R4094:AC4094 R4095:AC4095 R4096:AC4096 R4098:AC4098 R4099:AC4099 R4100:AC4100 R4101:AC4101 R4102:AC4102 R4103:AC4103 R4104:AC4104 R4105:AC4105 R4106:AC4106 R4107:AC4107 R4108:AC4108 R4109:AC4109 R4110:AC4110 R4111:AC4111 R4112:AC4112 R4113:AC4113 R4114:AC4114 R4115:AC4115 R4116:AC4116 R4117:AC4117 R4118:AC4118 R4119:AC4119 R4120:AC4120 R4121:AC4121 R4122:AC4122 R4123:AC4123 R4124:AC4124 R4125:AC4125 R4126:AC4126 R4127:AC4127 R4128:AC4128 R4129:AC4129 R4130:AC4130 R4131:AC4131 R4132:AC4132 R4133:AC4133 R4134:AC4134 R4135:AC4135 R4136:AC4136 R4137:AC4137 R4138:AC4138 R4139:AC4139 R4140:AC4140 R4141:AC4141 R4142:AC4142 R4144:AC4144 R4144:AC4155 R4145:AC4145 R4146:AC4146 R4147:AC4147 R4148:AC4148 R4149:AC4149 R4150:AC4150 R4151:AC4151 R4152:AC4152 R4153:AC4153 R4154:AC4154 R4155:AC4155 R4156:AC4156 R4157:AC4157 R4158:AC4158 R4159:AC4159 R4160:AC4160 R4161:AC4161 R4162:AC4162 R4163:AC4163 R4164:AC4164 R4165:AC4165 R4166:AC4166 R4167:AC4167 R4168:AC4168 R4169:AC4169 R4170:AC4170 R4171:AC4171 R4172:AC4172 R4173:AC4173 R4174:AC4174 R4175:AC4175 R4176:AC4176 R4177:AC4177 R4178:AC4178 R4179:AC4179 R4180:AC4180 R4181:AC4181 R4182:AC4182 R4183:AC4183 R4184:AC4184 R4185:AC4185 R4186:AC4186 R4187:AC4187 R4188:AC4188 R4190:AC4190 R4190:AC4201 R4191:AC4191 R4192:AC4192 R4193:AC4193 R4194:AC4194 R4195:AC4195 R4196:AC4196 R4197:AC4197 R4198:AC4198 R4199:AC4199 R4200:AC4200 R4201:AC4201 R4202:AC4202 R4203:AC4203 R4204:AC4204 R4205:AC4205 R4206:AC4206 R4207:AC4207 R4208:AC4208 R4209:AC4209 R4210:AC4210 R4211:AC4211 R4212:AC4212 R4213:AC4213 R4214:AC4214 R4215:AC4215 R4216:AC4216 R4217:AC4217 R4218:AC4218 R4219:AC4219 R4220:AC4220 R4221:AC4221 R4222:AC4222 R4223:AC4223 R4224:AC4224 R4225:AC4225 R4226:AC4226 R4227:AC4227 R4228:AC4228 R4229:AC4229 R4230:AC4230 R4231:AC4231 R4232:AC4232 R4233:AC4233 R4234:AC4234 R4236:AC4236 R4236:AC4247 R4237:AC4237 R4238:AC4238 R4239:AC4239 R4240:AC4240 R4241:AC4241 R4242:AC4242 R4243:AC4243 R4244:AC4244 R4245:AC4245 R4246:AC4246 R4247:AC4247 R4248:AC4248 R4249:AC4249 R4250:AC4250 R4251:AC4251 R4252:AC4252 R4253:AC4253 R4254:AC4254 R4255:AC4255 R4256:AC4256 R4257:AC4257 R4258:AC4258 R4259:AC4259 R4260:AC4260 R4261:AC4261 R4262:AC4262 R4263:AC4263 R4264:AC4264 R4265:AC4265 R4266:AC4266 R4267:AC4267 R4268:AC4268 R4269:AC4269 R4270:AC4270 R4271:AC4271 R4272:AC4272 R4273:AC4273 R4274:AC4274 R4275:AC4275 R4276:AC4276 R4277:AC4277 R4278:AC4278 R4279:AC4279 R4280:AC4280 R4282:AC4282 R4282:AC4293 R4283:AC4283 R4284:AC4284 R4285:AC4285 R4286:AC4286 R4287:AC4287 R4288:AC4288 R4289:AC4289 R4290:AC4290 R4291:AC4291 R4292:AC4292 R4293:AC4293 R4294:AC4294 R4328:AC4339 R4374:AC4385 R4420:AC4431 R4466:AC4477 R4512:AC4523 R4558:AC4569 R4604:AC4615 R4650:AC4661 R4696:AC4707 R4742:AC4753 R4788:AC4799 R4834:AC4845 R4880:AC4891 R4926:AC4937 R4972:AC4983 R5018:AC5029 R5055:AC5055 R5056:AC5056 R5057:AC5057 R5058:AC5058 R5059:AC5059 R5060:AC5060 R5061:AC5061 R5062:AC5062 R5063:AC5063 R5064:AC5064 R5065:AC5065 R5066:AC5066 R5067:AC5067 R5068:AC5068 R5070:AC5070 R5071:AC5071 R5072:AC5072 R5073:AC5073 R5074:AC5074 R5075:AC5075 R5076:AC5076 R5077:AC5077 R5078:AC5078 R5079:AC5079 R5080:AC5080 R5081:AC5081 R5082:AC5082 R5083:AC5083 R5085:AC5085 R5086:AC5086 R5087:AC5087 R5088:AC5088 R5089:AC5089 R5090:AC5090 R5091:AC5091 R5092:AC5092 R5093:AC5093 R5094:AC5094 R5095:AC5095 R5096:AC5096 R5097:AC5097 R5098:AC5098 R5100:AC5100 R5101:AC5101 R5102:AC5102 R5103:AC5103 R5104:AC5104 R5105:AC5105 R5106:AC5106 R5107:AC5107 R5108:AC5108 R5109:AC5109 R5110:AC5110 R5111:AC5111 R5112:AC5112 R5113:AC5113 R5115:AC5115 R5116:AC5116 R5117:AC5117 R5118:AC5118 R5119:AC5119 R5120:AC5120 R5121:AC5121 R5122:AC5122 R5123:AC5123 R5124:AC5124 R5125:AC5125 R5126:AC5126 R5127:AC5127 R5128:AC5128 R5130:AC5130 R5131:AC5131 R5132:AC5132 R5133:AC5133 R5134:AC5134 R5135:AC5135 R5136:AC5136 R5137:AC5137 R5138:AC5138 R5139:AC5139 R5140:AC5140 R5141:AC5141 R5142:AC5142 R5143:AC5143 R5145:AC5145 R5146:AC5146 R5147:AC5147 R5148:AC5148 R5149:AC5149 R5150:AC5150 R5151:AC5151 R5152:AC5152 R5153:AC5153 R5154:AC5154 R5155:AC5155 R5156:AC5156 R5157:AC5157 R5158:AC5158 R5176:AC5176 R5177:AC5177 R5178:AC5178 R5179:AC5179 R5180:AC5180 R5181:AC5181 R5182:AC5182 R5183:AC5183 R5184:AC5184 R5185:AC5185 R5186:AC5186 R5187:AC5187 R5188:AC5188 R5189:AC5189 R5191:AC5191 R5192:AC5192 R5193:AC5193 R5194:AC5194 R5195:AC5195 R5196:AC5196 R5197:AC5197 R5198:AC5198 R5199:AC5199 R5200:AC5200 R5201:AC5201 R5202:AC5202 R5203:AC5203 R5204:AC5204 R5206:AC5206 R5207:AC5207 R5208:AC5208 R5209:AC5209 R5210:AC5210 R5211:AC5211 R5212:AC5212 R5213:AC5213 R5214:AC5214 R5215:AC5215 R5216:AC5216 R5217:AC5217 R5218:AC5218 R5219:AC5219 R5221:AC5221 R5222:AC5222 R5223:AC5223 R5224:AC5224 R5225:AC5225 R5226:AC5226 R5227:AC5227 R5228:AC5228 R5229:AC5229 R5230:AC5230 R5231:AC5231 R5232:AC5232 R5233:AC5233 R5234:AC5234 R5236:AC5236 R5237:AC5237 R5238:AC5238 R5239:AC5239 R5240:AC5240 R5241:AC5241 R5242:AC5242 R5243:AC5243 R5244:AC5244 R5245:AC5245 R5246:AC5246 R5247:AC5247 R5248:AC5248 R5249:AC5249 R5251:AC5251 R5252:AC5252 R5253:AC5253 R5254:AC5254 R5255:AC5255 R5256:AC5256 R5257:AC5257 R5258:AC5258 R5259:AC5259 R5260:AC5260 R5261:AC5261 R5262:AC5262 R5263:AC5263 R5264:AC5264 R5266:AC5266 R5267:AC5267 R5268:AC5268 R5269:AC5269 R5270:AC5270 R5271:AC5271 R5272:AC5272 R5273:AC5273 R5274:AC5274 R5275:AC5275 R5276:AC5276 R5277:AC5277 R5278:AC5278 R5279:AC5279 R5297:AC5297 R5298:AC5298 R5299:AC5299 R5300:AC5300 R5301:AC5301 R5302:AC5302 R5303:AC5303 R5304:AC5304 R5305:AC5305 R5306:AC5306 R5307:AC5307 R5308:AC5308 R5309:AC5309 R5310:AC5310 R5312:AC5312 R5313:AC5313 R5314:AC5314 R5315:AC5315 R5316:AC5316 R5317:AC5317 R5318:AC5318 R5319:AC5319 R5320:AC5320 R5321:AC5321 R5322:AC5322 R5323:AC5323 R5324:AC5324 R5325:AC5325 R5327:AC5327 R5328:AC5328 R5329:AC5329 R5330:AC5330 R5331:AC5331 R5332:AC5332 R5333:AC5333 R5334:AC5334 R5335:AC5335 R5336:AC5336 R5337:AC5337 R5338:AC5338 R5339:AC5339 R5340:AC5340 R5342:AC5342 R5343:AC5343 R5344:AC5344 R5345:AC5345 R5346:AC5346 R5347:AC5347 R5348:AC5348 R5349:AC5349 R5350:AC5350 R5351:AC5351 R5352:AC5352 R5353:AC5353 R5354:AC5354 R5355:AC5355 R5357:AC5357 R5358:AC5358 R5359:AC5359 R5360:AC5360 R5361:AC5361 R5362:AC5362 R5363:AC5363 R5364:AC5364 R5365:AC5365 R5366:AC5366 R5367:AC5367 R5368:AC5368 R5369:AC5369 R5370:AC5370 R5372:AC5372 R5373:AC5373 R5374:AC5374 R5375:AC5375 R5376:AC5376 R5377:AC5377 R5378:AC5378 R5379:AC5379 R5380:AC5380 R5381:AC5381 R5382:AC5382 R5383:AC5383 R5384:AC5384 R5385:AC5385 R5387:AC5387 R5388:AC5388 R5389:AC5389 R5390:AC5390 R5391:AC5391 R5392:AC5392 R5393:AC5393 R5394:AC5394 R5395:AC5395 R5396:AC5396 R5397:AC5397 R5398:AC5398 R5399:AC5399 R5400:AC5400 R5418:AC5418 R5419:AC5419 R5420:AC5420 R5421:AC5421 R5422:AC5422 R5423:AC5423 R5424:AC5424 R5425:AC5425 R5426:AC5426 R5427:AC5427 R5428:AC5428 R5429:AC5429 R5430:AC5430 R5431:AC5431 R5433:AC5433 R5434:AC5434 R5435:AC5435 R5436:AC5436 R5437:AC5437 R5438:AC5438 R5439:AC5439 R5440:AC5440 R5441:AC5441 R5442:AC5442 R5443:AC5443 R5444:AC5444 R5445:AC5445 R5446:AC5446 R5448:AC5448 R5449:AC5449 R5450:AC5450 R5451:AC5451 R5452:AC5452 R5453:AC5453 R5454:AC5454 R5455:AC5455 R5456:AC5456 R5457:AC5457 R5458:AC5458 R5459:AC5459 R5460:AC5460 R5461:AC5461 R5463:AC5463 R5464:AC5464 R5465:AC5465 R5466:AC5466 R5467:AC5467 R5468:AC5468 R5469:AC5469 R5470:AC5470 R5471:AC5471 R5472:AC5472 R5473:AC5473 R5474:AC5474 R5475:AC5475 R5476:AC5476 R5478:AC5478 R5479:AC5479 R5480:AC5480 R5481:AC5481 R5482:AC5482 R5483:AC5483 R5484:AC5484 R5485:AC5485 R5486:AC5486 R5487:AC5487 R5488:AC5488 R5489:AC5489 R5490:AC5490 R5491:AC5491 R5493:AC5493 R5494:AC5494 R5495:AC5495 R5496:AC5496 R5497:AC5497 R5498:AC5498 R5499:AC5499 R5500:AC5500 R5501:AC5501 R5502:AC5502 R5503:AC5503 R5504:AC5504 R5505:AC5505 R5506:AC5506 R5508:AC5508 R5509:AC5509 R5510:AC5510 R5511:AC5511 R5512:AC5512 R5513:AC5513 R5514:AC5514 R5515:AC5515 R5516:AC5516 R5517:AC5517 R5518:AC5518 R5519:AC5519 R5520:AC5520 R5521:AC5521 R5539:AC5539 R5540:AC5540 R5541:AC5541 R5542:AC5542 R5543:AC5543 R5544:AC5544 R5545:AC5545 R5546:AC5546 R5547:AC5547 R5548:AC5548 R5549:AC5549 R5550:AC5550 R5551:AC5551 R5552:AC5552 R5554:AC5554 R5555:AC5555 R5556:AC5556 R5557:AC5557 R5558:AC5558 R5559:AC5559 R5560:AC5560 R5561:AC5561 R5562:AC5562 R5563:AC5563 R5564:AC5564 R5565:AC5565 R5566:AC5566 R5567:AC5567 R5569:AC5569 R5570:AC5570 R5571:AC5571 R5572:AC5572 R5573:AC5573 R5574:AC5574 R5575:AC5575 R5576:AC5576 R5577:AC5577 R5578:AC5578 R5579:AC5579 R5580:AC5580 R5581:AC5581 R5582:AC5582 R5584:AC5584 R5585:AC5585 R5586:AC5586 R5587:AC5587 R5588:AC5588 R5589:AC5589 R5590:AC5590 R5591:AC5591 R5592:AC5592 R5593:AC5593 R5594:AC5594 R5595:AC5595 R5596:AC5596 R5597:AC5597 R5599:AC5599 R5600:AC5600 R5601:AC5601 R5602:AC5602 R5603:AC5603 R5604:AC5604 R5605:AC5605 R5606:AC5606 R5607:AC5607 R5608:AC5608 R5609:AC5609 R5610:AC5610 R5611:AC5611 R5612:AC5612 R5614:AC5614 R5615:AC5615 R5616:AC5616 R5617:AC5617 R5618:AC5618 R5619:AC5619 R5620:AC5620 R5621:AC5621 R5622:AC5622 R5623:AC5623 R5624:AC5624 R5625:AC5625 R5626:AC5626 R5627:AC5627 R5629:AC5629 R5630:AC5630 R5631:AC5631 R5632:AC5632 R5633:AC5633 R5634:AC5634 R5635:AC5635 R5636:AC5636 R5637:AC5637 R5638:AC5638 R5639:AC5639 R5640:AC5640 R5641:AC5641 R5642:AC5642 R5660:AC5660 R5661:AC5661 R5662:AC5662 R5663:AC5663 R5664:AC5664 R5665:AC5665 R5666:AC5666 R5667:AC5667 R5668:AC5668 R5669:AC5669 R5670:AC5670 R5671:AC5671 R5672:AC5672 R5673:AC5673 R5675:AC5675 R5676:AC5676 R5677:AC5677 R5678:AC5678 R5679:AC5679 R5680:AC5680 R5681:AC5681 R5682:AC5682 R5683:AC5683 R5684:AC5684 R5685:AC5685 R5686:AC5686 R5687:AC5687 R5688:AC5688 R5690:AC5690 R5691:AC5691 R5692:AC5692 R5693:AC5693 R5694:AC5694 R5695:AC5695 R5696:AC5696 R5697:AC5697 R5698:AC5698 R5699:AC5699 R5700:AC5700 R5701:AC5701 R5702:AC5702 R5703:AC5703 R5705:AC5705 R5706:AC5706 R5707:AC5707 R5708:AC5708 R5709:AC5709 R5710:AC5710 R5711:AC5711 R5712:AC5712 R5713:AC5713 R5714:AC5714 R5715:AC5715 R5716:AC5716 R5717:AC5717 R5718:AC5718 R5720:AC5720 R5721:AC5721 R5722:AC5722 R5723:AC5723 R5724:AC5724 R5725:AC5725 R5726:AC5726 R5727:AC5727 R5728:AC5728 R5729:AC5729 R5730:AC5730 R5731:AC5731 R5732:AC5732 R5733:AC5733 R5735:AC5735 R5736:AC5736 R5737:AC5737 R5738:AC5738 R5739:AC5739 R5740:AC5740 R5741:AC5741 R5742:AC5742 R5743:AC5743 R5744:AC5744 R5745:AC5745 R5746:AC5746 R5747:AC5747 R5748:AC5748 R5750:AC5750 R5751:AC5751 R5752:AC5752 R5753:AC5753 R5754:AC5754 R5755:AC5755 R5756:AC5756 R5757:AC5757 R5758:AC5758 R5759:AC5759 R5760:AC5760 R5761:AC5761 R5762:AC5762 R5763:AC5763 R5781:AC5781 R5782:AC5782 R5783:AC5783 R5784:AC5784 R5785:AC5785 R5786:AC5786 R5787:AC5787 R5788:AC5788 R5789:AC5789 R5790:AC5790 R5791:AC5791 R5792:AC5792 R5793:AC5793 R5794:AC5794 R5796:AC5796 R5797:AC5797 R5798:AC5798 R5799:AC5799 R5800:AC5800 R5801:AC5801 R5802:AC5802 R5803:AC5803 R5804:AC5804 R5805:AC5805 R5806:AC5806 R5807:AC5807 R5808:AC5808 R5809:AC5809 R5811:AC5811 R5812:AC5812 R5813:AC5813 R5814:AC5814 R5815:AC5815 R5816:AC5816 R5817:AC5817 R5818:AC5818 R5819:AC5819 R5820:AC5820 R5821:AC5821 R5822:AC5822 R5823:AC5823 R5824:AC5824 R5826:AC5826 R5827:AC5827 R5828:AC5828 R5829:AC5829 R5830:AC5830 R5831:AC5831 R5832:AC5832 R5833:AC5833 R5834:AC5834 R5835:AC5835 R5836:AC5836 R5837:AC5837 R5838:AC5838 R5839:AC5839 R5841:AC5841 R5842:AC5842 R5843:AC5843 R5844:AC5844 R5845:AC5845 R5846:AC5846 R5847:AC5847 R5848:AC5848 R5849:AC5849 R5850:AC5850 R5851:AC5851 R5852:AC5852 R5853:AC5853 R5854:AC5854 R5856:AC5856 R5857:AC5857 R5858:AC5858 R5859:AC5859 R5860:AC5860 R5861:AC5861 R5862:AC5862 R5863:AC5863 R5864:AC5864 R5865:AC5865 R5866:AC5866 R5867:AC5867 R5868:AC5868 R5869:AC5869 R5871:AC5871 R5872:AC5872 R5873:AC5873 R5874:AC5874 R5875:AC5875 R5876:AC5876 R5877:AC5877 R5878:AC5878 R5879:AC5879 R5880:AC5880 R5881:AC5881 R5882:AC5882 R5883:AC5883 R5884:AC5884 R5902:AC5902 R5903:AC5903 R5904:AC5904 R5905:AC5905 R5906:AC5906 R5907:AC5907 R5908:AC5908 R5909:AC5909 R5910:AC5910 R5911:AC5911 R5912:AC5912 R5913:AC5913 R5914:AC5914 R5915:AC5915 R5917:AC5917 R5918:AC5918 R5919:AC5919 R5920:AC5920 R5921:AC5921 R5922:AC5922 R5923:AC5923 R5924:AC5924 R5925:AC5925 R5926:AC5926 R5927:AC5927 R5928:AC5928 R5929:AC5929 R5930:AC5930 R5932:AC5932 R5933:AC5933 R5934:AC5934 R5935:AC5935 R5936:AC5936 R5937:AC5937 R5938:AC5938 R5939:AC5939 R5940:AC5940 R5941:AC5941 R5942:AC5942 R5943:AC5943 R5944:AC5944 R5945:AC5945 R5947:AC5947 R5948:AC5948 R5949:AC5949 R5950:AC5950 R5951:AC5951 R5952:AC5952 R5953:AC5953 R5954:AC5954 R5955:AC5955 R5956:AC5956 R5957:AC5957 R5958:AC5958 R5959:AC5959 R5960:AC5960 R5962:AC5962 R5963:AC5963 R5964:AC5964 R5965:AC5965 R5966:AC5966 R5967:AC5967 R5968:AC5968 R5969:AC5969 R5970:AC5970 R5971:AC5971 R5972:AC5972 R5973:AC5973 R5974:AC5974 R5975:AC5975 R5977:AC5977 R5978:AC5978 R5979:AC5979 R5980:AC5980 R5981:AC5981 R5982:AC5982 R5983:AC5983 R5984:AC5984 R5985:AC5985 R5986:AC5986 R5987:AC5987 R5988:AC5988 R5989:AC5989 R5990:AC5990 R5992:AC5992 R5993:AC5993 R5994:AC5994 R5995:AC5995 R5996:AC5996 R5997:AC5997 R5998:AC5998 R5999:AC5999 R6000:AC6000 R6001:AC6001 R6002:AC6002 R6003:AC6003 R6004:AC6004 R6005:AC6005 R6023:AC6023 R6024:AC6024 R6025:AC6025 R6026:AC6026 R6027:AC6027 R6028:AC6028 R6029:AC6029 R6030:AC6030 R6031:AC6031 R6032:AC6032 R6033:AC6033 R6034:AC6034 R6035:AC6035 R6036:AC6036 R6038:AC6038 R6039:AC6039 R6040:AC6040 R6041:AC6041 R6042:AC6042 R6043:AC6043 R6044:AC6044 R6045:AC6045 R6046:AC6046 R6047:AC6047 R6048:AC6048 R6049:AC6049 R6050:AC6050 R6051:AC6051 R6053:AC6053 R6054:AC6054 R6055:AC6055 R6056:AC6056 R6057:AC6057 R6058:AC6058 R6059:AC6059 R6060:AC6060 R6061:AC6061 R6062:AC6062 R6063:AC6063 R6064:AC6064 R6065:AC6065 R6066:AC6066 R6068:AC6068 R6069:AC6069 R6070:AC6070 R6071:AC6071 R6072:AC6072 R6073:AC6073 R6074:AC6074 R6075:AC6075 R6076:AC6076 R6077:AC6077 R6078:AC6078 R6079:AC6079 R6080:AC6080 R6081:AC6081 R6083:AC6083 R6084:AC6084 R6085:AC6085 R6086:AC6086 R6087:AC6087 R6088:AC6088 R6089:AC6089 R6090:AC6090 R6091:AC6091 R6092:AC6092 R6093:AC6093 R6094:AC6094 R6095:AC6095 R6096:AC6096 R6098:AC6098 R6099:AC6099 R6100:AC6100 R6101:AC6101 R6102:AC6102 R6103:AC6103 R6104:AC6104 R6105:AC6105 R6106:AC6106 R6107:AC6107 R6108:AC6108 R6109:AC6109 R6110:AC6110 R6111:AC6111 R6113:AC6113 R6114:AC6114 R6115:AC6115 R6116:AC6116 R6117:AC6117 R6118:AC6118 R6119:AC6119 R6120:AC6120 R6121:AC6121 R6122:AC6122 R6123:AC6123 R6124:AC6124 R6125:AC6125 R6126:AC6126 R6146:AC6146 R6147:AC6147 R6148:AC6148 R6149:AC6149 R6150:AC6150 R6151:AC6151 R6152:AC6152 R6153:AC6153 R6154:AC6154 R6155:AC6155 R6156:AC6156 R6157:AC6157 R6158:AC6158 R6159:AC6159 R6161:AC6161 R6162:AC6162 R6163:AC6163 R6164:AC6164 R6165:AC6165 R6166:AC6166 R6167:AC6167 R6168:AC6168 R6169:AC6169 R6170:AC6170 R6171:AC6171 R6172:AC6172 R6173:AC6173 R6174:AC6174 R6176:AC6176 R6177:AC6177 R6178:AC6178 R6179:AC6179 R6180:AC6180 R6181:AC6181 R6182:AC6182 R6183:AC6183 R6184:AC6184 R6185:AC6185 R6186:AC6186 R6187:AC6187 R6188:AC6188 R6189:AC6189 R6191:AC6191 R6192:AC6192 R6193:AC6193 R6194:AC6194 R6195:AC6195 R6196:AC6196 R6197:AC6197 R6198:AC6198 R6199:AC6199 R6200:AC6200 R6201:AC6201 R6202:AC6202 R6203:AC6203 R6204:AC6204 R6206:AC6206 R6207:AC6207 R6208:AC6208 R6209:AC6209 R6210:AC6210 R6211:AC6211 R6212:AC6212 R6213:AC6213 R6214:AC6214 R6215:AC6215 R6216:AC6216 R6217:AC6217 R6218:AC6218 R6219:AC6219 R6221:AC6221 R6222:AC6222 R6223:AC6223 R6224:AC6224 R6225:AC6225 R6226:AC6226 R6227:AC6227 R6228:AC6228 R6229:AC6229 R6230:AC6230 R6231:AC6231 R6232:AC6232 R6233:AC6233 R6234:AC6234 R6236:AC6236 R6237:AC6237 R6238:AC6238 R6239:AC6239 R6240:AC6240 R6241:AC6241 R6242:AC6242 R6243:AC6243 R6244:AC6244 R6245:AC6245 R6246:AC6246 R6247:AC6247 R6248:AC6248 R6249:AC6249 R6267:AC6267 R6268:AC6268 R6269:AC6269 R6270:AC6270 R6271:AC6271 R6272:AC6272 R6273:AC6273 R6274:AC6274 R6275:AC6275 R6276:AC6276 R6277:AC6277 R6278:AC6278 R6279:AC6279 R6280:AC6280 R6282:AC6282 R6283:AC6283 R6284:AC6284 R6285:AC6285 R6286:AC6286 R6287:AC6287 R6288:AC6288 R6289:AC6289 R6290:AC6290 R6291:AC6291 R6292:AC6292 R6293:AC6293 R6294:AC6294 R6295:AC6295 R6297:AC6297 R6298:AC6298 R6299:AC6299 R6300:AC6300 R6301:AC6301 R6302:AC6302 R6303:AC6303 R6304:AC6304 R6305:AC6305 R6306:AC6306 R6307:AC6307 R6308:AC6308 R6309:AC6309 R6310:AC6310 R6312:AC6312 R6313:AC6313 R6314:AC6314 R6315:AC6315 R6316:AC6316 R6317:AC6317 R6318:AC6318 R6319:AC6319 R6320:AC6320 R6321:AC6321 R6322:AC6322 R6323:AC6323 R6324:AC6324 R6325:AC6325 R6327:AC6327 R6328:AC6328 R6329:AC6329 R6330:AC6330 R6331:AC6331 R6332:AC6332 R6333:AC6333 R6334:AC6334 R6335:AC6335 R6336:AC6336 R6337:AC6337 R6338:AC6338 R6339:AC6339 R6340:AC6340 R6342:AC6342 R6343:AC6343 R6344:AC6344 R6345:AC6345 R6346:AC6346 R6347:AC6347 R6348:AC6348 R6349:AC6349 R6350:AC6350 R6351:AC6351 R6352:AC6352 R6353:AC6353 R6354:AC6354 R6355:AC6355 R6357:AC6357 R6358:AC6358 R6359:AC6359 R6360:AC6360 R6361:AC6361 R6362:AC6362 R6363:AC6363 R6364:AC6364 R6365:AC6365 R6366:AC6366 R6367:AC6367 R6368:AC6368 R6369:AC6369 R6370:AC6370 R6388:AC6388 R6389:AC6389 R6390:AC6390 R6391:AC6391 R6392:AC6392 R6393:AC6393 R6394:AC6394 R6395:AC6395 R6396:AC6396 R6397:AC6397 R6398:AC6398 R6399:AC6399 R6400:AC6400 R6401:AC6401 R6403:AC6403 R6404:AC6404 R6405:AC6405 R6406:AC6406 R6407:AC6407 R6408:AC6408 R6409:AC6409 R6410:AC6410 R6411:AC6411 R6412:AC6412 R6413:AC6413 R6414:AC6414 R6415:AC6415 R6416:AC6416 R6418:AC6418 R6419:AC6419 R6420:AC6420 R6421:AC6421 R6422:AC6422 R6423:AC6423 R6424:AC6424 R6425:AC6425 R6426:AC6426 R6427:AC6427 R6428:AC6428 R6429:AC6429 R6430:AC6430 R6431:AC6431 R6433:AC6433 R6434:AC6434 R6435:AC6435 R6436:AC6436 R6437:AC6437 R6438:AC6438 R6439:AC6439 R6440:AC6440 R6441:AC6441 R6442:AC6442 R6443:AC6443 R6444:AC6444 R6445:AC6445 R6446:AC6446 R6448:AC6448 R6449:AC6449 R6450:AC6450 R6451:AC6451 R6452:AC6452 R6453:AC6453 R6454:AC6454 R6455:AC6455 R6456:AC6456 R6457:AC6457 R6458:AC6458 R6459:AC6459 R6460:AC6460 R6461:AC6461 R6463:AC6463 R6464:AC6464 R6465:AC6465 R6466:AC6466 R6467:AC6467 R6468:AC6468 R6469:AC6469 R6470:AC6470 R6471:AC6471 R6472:AC6472 R6473:AC6473 R6474:AC6474 R6475:AC6475 R6476:AC6476 R6478:AC6478 R6479:AC6479 R6480:AC6480 R6481:AC6481 R6482:AC6482 R6483:AC6483 R6484:AC6484 R6485:AC6485 R6486:AC6486 R6487:AC6487 R6488:AC6488 R6489:AC6489 R6490:AC6490 R6491:AC6491 R6509:AC6509 R6510:AC6510 R6511:AC6511 R6512:AC6512 R6513:AC6513 R6514:AC6514 R6515:AC6515 R6516:AC6516 R6517:AC6517 R6518:AC6518 R6519:AC6519 R6520:AC6520 R6521:AC6521 R6522:AC6522 R6524:AC6524 R6525:AC6525 R6526:AC6526 R6527:AC6527 R6528:AC6528 R6529:AC6529 R6530:AC6530 R6531:AC6531 R6532:AC6532 R6533:AC6533 R6534:AC6534 R6535:AC6535 R6536:AC6536 R6537:AC6537 R6539:AC6539 R6540:AC6540 R6541:AC6541 R6542:AC6542 R6543:AC6543 R6544:AC6544 R6545:AC6545 R6546:AC6546 R6547:AC6547 R6548:AC6548 R6549:AC6549 R6550:AC6550 R6551:AC6551 R6552:AC6552 R6554:AC6554 R6555:AC6555 R6556:AC6556 R6557:AC6557 R6558:AC6558 R6559:AC6559 R6560:AC6560 R6561:AC6561 R6562:AC6562 R6563:AC6563 R6564:AC6564 R6565:AC6565 R6566:AC6566 R6567:AC6567 R6569:AC6569 R6570:AC6570 R6571:AC6571 R6572:AC6572 R6573:AC6573 R6574:AC6574 R6575:AC6575 R6576:AC6576 R6577:AC6577 R6578:AC6578 R6579:AC6579 R6580:AC6580 R6581:AC6581 R6582:AC6582 R6584:AC6584 R6585:AC6585 R6586:AC6586 R6587:AC6587 R6588:AC6588 R6589:AC6589 R6590:AC6590 R6591:AC6591 R6592:AC6592 R6593:AC6593 R6594:AC6594 R6595:AC6595 R6596:AC6596 R6597:AC6597 R6599:AC6599 R6600:AC6600 R6601:AC6601 R6602:AC6602 R6603:AC6603 R6604:AC6604 R6605:AC6605 R6606:AC6606 R6607:AC6607 R6608:AC6608 R6609:AC6609 R6610:AC6610 R6611:AC6611 R6612:AC6612">
    <cfRule type="colorScale" priority="5">
      <colorScale>
        <cfvo type="min" val="0"/>
        <cfvo type="percentile" val="50"/>
        <cfvo type="max" val="0"/>
        <color rgb="FFF8696B"/>
        <color rgb="FFFCFCFF"/>
        <color rgb="FF5A8AC6"/>
      </colorScale>
    </cfRule>
    <cfRule type="colorScale" priority="6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R4097:AC4097 R4143:AC4143 R4189:AC4189 R4235:AC4235 R4281:AC4281 R4295:AC4295 R4296:AC4296 R4297:AC4297 R4298:AC4298 R4299:AC4299 R4300:AC4300 R4301:AC4301 R4302:AC4302 R4303:AC4303 R4304:AC4304 R4305:AC4305 R4306:AC4306 R4307:AC4307 R4308:AC4308 R4309:AC4309 R4310:AC4310 R4311:AC4311 R4312:AC4312 R4313:AC4313 R4314:AC4314 R4315:AC4315 R4316:AC4316 R4317:AC4317 R4318:AC4318 R4319:AC4319 R4320:AC4320 R4321:AC4321 R4322:AC4322 R4323:AC4323 R4324:AC4324 R4325:AC4325 R4326:AC4326 R4329:AC4329 R4330:AC4330 R4331:AC4331 R4332:AC4332 R4333:AC4333 R4334:AC4334 R4335:AC4335 R4336:AC4336 R4337:AC4337 R4338:AC4338 R4339:AC4339 R4340:AC4340 R4341:AC4341 R4342:AC4342 R4343:AC4343 R4344:AC4344 R4345:AC4345 R4346:AC4346 R4347:AC4347 R4348:AC4348 R4349:AC4349 R4350:AC4350 R4351:AC4351 R4352:AC4352 R4353:AC4353 R4354:AC4354 R4355:AC4355 R4356:AC4356 R4357:AC4357 R4358:AC4358 R4359:AC4359 R4360:AC4360 R4361:AC4361 R4362:AC4362 R4363:AC4363 R4364:AC4364 R4365:AC4365 R4366:AC4366 R4367:AC4367 R4368:AC4368 R4369:AC4369 R4370:AC4370 R4371:AC4371 R4372:AC4372 R4375:AC4375 R4376:AC4376 R4377:AC4377 R4378:AC4378 R4379:AC4379 R4380:AC4380 R4381:AC4381 R4382:AC4382 R4383:AC4383 R4384:AC4384 R4385:AC4385 R4386:AC4386 R4387:AC4387 R4388:AC4388 R4389:AC4389 R4390:AC4390 R4391:AC4391 R4392:AC4392 R4393:AC4393 R4394:AC4394 R4395:AC4395 R4396:AC4396 R4397:AC4397 R4398:AC4398 R4399:AC4399 R4400:AC4400 R4401:AC4401 R4402:AC4402 R4403:AC4403 R4404:AC4404 R4405:AC4405 R4406:AC4406 R4407:AC4407 R4408:AC4408 R4409:AC4409 R4410:AC4410 R4411:AC4411 R4412:AC4412 R4413:AC4413 R4414:AC4414 R4415:AC4415 R4416:AC4416 R4417:AC4417 R4418:AC4418 R4421:AC4421 R4422:AC4422 R4423:AC4423 R4424:AC4424 R4425:AC4425 R4426:AC4426 R4427:AC4427 R4428:AC4428 R4429:AC4429 R4430:AC4430 R4431:AC4431 R4432:AC4432 R4433:AC4433 R4434:AC4434 R4435:AC4435 R4436:AC4436 R4437:AC4437 R4438:AC4438 R4439:AC4439 R4440:AC4440 R4441:AC4441 R4442:AC4442 R4443:AC4443 R4444:AC4444 R4445:AC4445 R4446:AC4446 R4447:AC4447 R4448:AC4448 R4449:AC4449 R4450:AC4450 R4451:AC4451 R4452:AC4452 R4453:AC4453 R4454:AC4454 R4455:AC4455 R4456:AC4456 R4457:AC4457 R4458:AC4458 R4459:AC4459 R4460:AC4460 R4461:AC4461 R4462:AC4462 R4463:AC4463 R4464:AC4464 R4467:AC4467 R4468:AC4468 R4469:AC4469 R4470:AC4470 R4471:AC4471 R4472:AC4472 R4473:AC4473 R4474:AC4474 R4475:AC4475 R4476:AC4476 R4477:AC4477 R4478:AC4478 R4479:AC4479 R4480:AC4480 R4481:AC4481 R4482:AC4482 R4483:AC4483 R4484:AC4484 R4485:AC4485 R4486:AC4486 R4487:AC4487 R4488:AC4488 R4489:AC4489 R4490:AC4490 R4491:AC4491 R4492:AC4492 R4493:AC4493 R4494:AC4494 R4495:AC4495 R4496:AC4496 R4497:AC4497 R4498:AC4498 R4499:AC4499 R4500:AC4500 R4501:AC4501 R4502:AC4502 R4503:AC4503 R4504:AC4504 R4505:AC4505 R4506:AC4506 R4507:AC4507 R4508:AC4508 R4509:AC4509 R4510:AC4510 R4513:AC4513 R4514:AC4514 R4515:AC4515 R4516:AC4516 R4517:AC4517 R4518:AC4518 R4519:AC4519 R4520:AC4520 R4521:AC4521 R4522:AC4522 R4523:AC4523 R4524:AC4524 R4525:AC4525 R4526:AC4526 R4527:AC4527 R4528:AC4528 R4529:AC4529 R4530:AC4530 R4531:AC4531 R4532:AC4532 R4533:AC4533 R4534:AC4534 R4535:AC4535 R4536:AC4536 R4537:AC4537 R4538:AC4538 R4539:AC4539 R4540:AC4540 R4541:AC4541 R4542:AC4542 R4543:AC4543 R4544:AC4544 R4545:AC4545 R4546:AC4546 R4547:AC4547 R4548:AC4548 R4549:AC4549 R4550:AC4550 R4551:AC4551 R4552:AC4552 R4553:AC4553 R4554:AC4554 R4555:AC4555 R4556:AC4556 R4559:AC4559 R4560:AC4560 R4561:AC4561 R4562:AC4562 R4563:AC4563 R4564:AC4564 R4565:AC4565 R4566:AC4566 R4567:AC4567 R4568:AC4568 R4569:AC4569 R4570:AC4570 R4571:AC4571 R4572:AC4572 R4573:AC4573 R4574:AC4574 R4575:AC4575 R4576:AC4576 R4577:AC4577 R4578:AC4578 R4579:AC4579 R4580:AC4580 R4581:AC4581 R4582:AC4582 R4583:AC4583 R4584:AC4584 R4585:AC4585 R4586:AC4586 R4587:AC4587 R4588:AC4588 R4589:AC4589 R4590:AC4590 R4591:AC4591 R4592:AC4592 R4593:AC4593 R4594:AC4594 R4595:AC4595 R4596:AC4596 R4597:AC4597 R4598:AC4598 R4599:AC4599 R4600:AC4600 R4601:AC4601 R4602:AC4602 R4605:AC4605 R4606:AC4606 R4607:AC4607 R4608:AC4608 R4609:AC4609 R4610:AC4610 R4611:AC4611 R4612:AC4612 R4613:AC4613 R4614:AC4614 R4615:AC4615 R4616:AC4616 R4617:AC4617 R4618:AC4618 R4619:AC4619 R4620:AC4620 R4621:AC4621 R4622:AC4622 R4623:AC4623 R4624:AC4624 R4625:AC4625 R4626:AC4626 R4627:AC4627 R4628:AC4628 R4629:AC4629 R4630:AC4630 R4631:AC4631 R4632:AC4632 R4633:AC4633 R4634:AC4634 R4635:AC4635 R4636:AC4636 R4637:AC4637 R4638:AC4638 R4639:AC4639 R4640:AC4640 R4641:AC4641 R4642:AC4642 R4643:AC4643 R4644:AC4644 R4645:AC4645 R4646:AC4646 R4647:AC4647 R4648:AC4648 R4651:AC4651 R4652:AC4652 R4653:AC4653 R4654:AC4654 R4655:AC4655 R4656:AC4656 R4657:AC4657 R4658:AC4658 R4659:AC4659 R4660:AC4660 R4661:AC4661 R4662:AC4662 R4663:AC4663 R4664:AC4664 R4665:AC4665 R4666:AC4666 R4667:AC4667 R4668:AC4668 R4669:AC4669 R4670:AC4670 R4671:AC4671 R4672:AC4672 R4673:AC4673 R4674:AC4674 R4675:AC4675 R4676:AC4676 R4677:AC4677 R4678:AC4678 R4679:AC4679 R4680:AC4680 R4681:AC4681 R4682:AC4682 R4683:AC4683 R4684:AC4684 R4685:AC4685 R4686:AC4686 R4687:AC4687 R4688:AC4688 R4689:AC4689 R4690:AC4690 R4691:AC4691 R4692:AC4692 R4693:AC4693 R4694:AC4694 R4697:AC4697 R4698:AC4698 R4699:AC4699 R4700:AC4700 R4701:AC4701 R4702:AC4702 R4703:AC4703 R4704:AC4704 R4705:AC4705 R4706:AC4706 R4707:AC4707 R4708:AC4708 R4709:AC4709 R4710:AC4710 R4711:AC4711 R4712:AC4712 R4713:AC4713 R4714:AC4714 R4715:AC4715 R4716:AC4716 R4717:AC4717 R4718:AC4718 R4719:AC4719 R4720:AC4720 R4721:AC4721 R4722:AC4722 R4723:AC4723 R4724:AC4724 R4725:AC4725 R4726:AC4726 R4727:AC4727 R4728:AC4728 R4729:AC4729 R4730:AC4730 R4731:AC4731 R4732:AC4732 R4733:AC4733 R4734:AC4734 R4735:AC4735 R4736:AC4736 R4737:AC4737 R4738:AC4738 R4739:AC4739 R4740:AC4740 R4743:AC4743 R4744:AC4744 R4745:AC4745 R4746:AC4746 R4747:AC4747 R4748:AC4748 R4749:AC4749 R4750:AC4750 R4751:AC4751 R4752:AC4752 R4753:AC4753 R4754:AC4754 R4755:AC4755 R4756:AC4756 R4757:AC4757 R4758:AC4758 R4759:AC4759 R4760:AC4760 R4761:AC4761 R4762:AC4762 R4763:AC4763 R4764:AC4764 R4765:AC4765 R4766:AC4766 R4767:AC4767 R4768:AC4768 R4769:AC4769 R4770:AC4770 R4771:AC4771 R4772:AC4772 R4773:AC4773 R4774:AC4774 R4775:AC4775 R4776:AC4776 R4777:AC4777 R4778:AC4778 R4779:AC4779 R4780:AC4780 R4781:AC4781 R4782:AC4782 R4783:AC4783 R4784:AC4784 R4785:AC4785 R4786:AC4786 R4789:AC4789 R4790:AC4790 R4791:AC4791 R4792:AC4792 R4793:AC4793 R4794:AC4794 R4795:AC4795 R4796:AC4796 R4797:AC4797 R4798:AC4798 R4799:AC4799 R4800:AC4800 R4801:AC4801 R4802:AC4802 R4803:AC4803 R4804:AC4804 R4805:AC4805 R4806:AC4806 R4807:AC4807 R4808:AC4808 R4809:AC4809 R4810:AC4810 R4811:AC4811 R4812:AC4812 R4813:AC4813 R4814:AC4814 R4815:AC4815 R4816:AC4816 R4817:AC4817 R4818:AC4818 R4819:AC4819 R4820:AC4820 R4821:AC4821 R4822:AC4822 R4823:AC4823 R4824:AC4824 R4825:AC4825 R4826:AC4826 R4827:AC4827 R4828:AC4828 R4829:AC4829 R4830:AC4830 R4831:AC4831 R4832:AC4832 R4835:AC4835 R4836:AC4836 R4837:AC4837 R4838:AC4838 R4839:AC4839 R4840:AC4840 R4841:AC4841 R4842:AC4842 R4843:AC4843 R4844:AC4844 R4845:AC4845 R4846:AC4846 R4847:AC4847 R4848:AC4848 R4849:AC4849 R4850:AC4850 R4851:AC4851 R4852:AC4852 R4853:AC4853 R4854:AC4854 R4855:AC4855 R4856:AC4856 R4857:AC4857 R4858:AC4858 R4859:AC4859 R4860:AC4860 R4861:AC4861 R4862:AC4862 R4863:AC4863 R4864:AC4864 R4865:AC4865 R4866:AC4866 R4867:AC4867 R4868:AC4868 R4869:AC4869 R4870:AC4870 R4871:AC4871 R4872:AC4872 R4873:AC4873 R4874:AC4874 R4875:AC4875 R4876:AC4876 R4877:AC4877 R4878:AC4878 R4881:AC4881 R4882:AC4882 R4883:AC4883 R4884:AC4884 R4885:AC4885 R4886:AC4886 R4887:AC4887 R4888:AC4888 R4889:AC4889 R4890:AC4890 R4891:AC4891 R4892:AC4892 R4893:AC4893 R4894:AC4894 R4895:AC4895 R4896:AC4896 R4897:AC4897 R4898:AC4898 R4899:AC4899 R4900:AC4900 R4901:AC4901 R4902:AC4902 R4903:AC4903 R4904:AC4904 R4905:AC4905 R4906:AC4906 R4907:AC4907 R4908:AC4908 R4909:AC4909 R4910:AC4910 R4911:AC4911 R4912:AC4912 R4913:AC4913 R4914:AC4914 R4915:AC4915 R4916:AC4916 R4917:AC4917 R4918:AC4918 R4919:AC4919 R4920:AC4920 R4921:AC4921 R4922:AC4922 R4923:AC4923 R4924:AC4924 R4927:AC4927 R4928:AC4928 R4929:AC4929 R4930:AC4930 R4931:AC4931 R4932:AC4932 R4933:AC4933 R4934:AC4934 R4935:AC4935 R4936:AC4936 R4937:AC4937 R4938:AC4938 R4939:AC4939 R4940:AC4940 R4941:AC4941 R4942:AC4942 R4943:AC4943 R4944:AC4944 R4945:AC4945 R4946:AC4946 R4947:AC4947 R4948:AC4948 R4949:AC4949 R4950:AC4950 R4951:AC4951 R4952:AC4952 R4953:AC4953 R4954:AC4954 R4955:AC4955 R4956:AC4956 R4957:AC4957 R4958:AC4958 R4959:AC4959 R4960:AC4960 R4961:AC4961 R4962:AC4962 R4963:AC4963 R4964:AC4964 R4965:AC4965 R4966:AC4966 R4967:AC4967 R4968:AC4968 R4969:AC4969 R4970:AC4970 R4973:AC4973 R4974:AC4974 R4975:AC4975 R4976:AC4976 R4977:AC4977 R4978:AC4978 R4979:AC4979 R4980:AC4980 R4981:AC4981 R4982:AC4982 R4983:AC4983 R4984:AC4984 R4985:AC4985 R4986:AC4986 R4987:AC4987 R4988:AC4988 R4989:AC4989 R4990:AC4990 R4991:AC4991 R4992:AC4992 R4993:AC4993 R4994:AC4994 R4995:AC4995 R4996:AC4996 R4997:AC4997 R4998:AC4998 R4999:AC4999 R5000:AC5000 R5001:AC5001 R5002:AC5002 R5003:AC5003 R5004:AC5004 R5005:AC5005 R5006:AC5006 R5007:AC5007 R5008:AC5008 R5009:AC5009 R5010:AC5010 R5011:AC5011 R5012:AC5012 R5013:AC5013 R5014:AC5014 R5015:AC5015 R5016:AC5016 R5019:AC5019 R5020:AC5020 R5021:AC5021 R5022:AC5022 R5023:AC5023 R5024:AC5024 R5025:AC5025 R5026:AC5026 R5027:AC5027 R5028:AC5028 R5029:AC5029 R5030:AC5030 R5031:AC5031 R5032:AC5032 R5033:AC5033 R5034:AC5034 R5035:AC5035 R5036:AC5036 R5037:AC5037 R5038:AC5038">
    <cfRule type="colorScale" priority="7">
      <colorScale>
        <cfvo type="min" val="0"/>
        <cfvo type="percentile" val="50"/>
        <cfvo type="max" val="0"/>
        <color rgb="FFF8696B"/>
        <color rgb="FFFCFCFF"/>
        <color rgb="FF5A8AC6"/>
      </colorScale>
    </cfRule>
    <cfRule type="colorScale" priority="8">
      <colorScale>
        <cfvo type="min" val="0"/>
        <cfvo type="percentile" val="50"/>
        <cfvo type="max" val="0"/>
        <color rgb="FFF8696B"/>
        <color rgb="FFFCFCFF"/>
        <color rgb="FF5A8AC6"/>
      </colorScale>
    </cfRule>
    <cfRule type="colorScale" priority="9">
      <colorScale>
        <cfvo type="min" val="0"/>
        <cfvo type="percentile" val="50"/>
        <cfvo type="max" val="0"/>
        <color rgb="FFF8696B"/>
        <color rgb="FFFCFCFF"/>
        <color rgb="FF5A8AC6"/>
      </colorScale>
    </cfRule>
    <cfRule type="colorScale" priority="10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R4327:AC4327 R4328:AC4328 R4373:AC4373 R4374:AC4374 R4419:AC4419 R4420:AC4420 R4465:AC4465 R4466:AC4466 R4511:AC4511 R4512:AC4512 R4557:AC4557 R4558:AC4558 R4603:AC4603 R4604:AC4604 R4649:AC4649 R4650:AC4650 R4695:AC4695 R4696:AC4696 R4741:AC4741 R4742:AC4742 R4787:AC4787 R4788:AC4788 R4833:AC4833 R4834:AC4834 R4879:AC4879 R4880:AC4880 R4925:AC4925 R4926:AC4926 R4971:AC4971 R4972:AC4972 R5017:AC5017 R5018:AC5018">
    <cfRule type="colorScale" priority="11">
      <colorScale>
        <cfvo type="min" val="0"/>
        <cfvo type="percentile" val="50"/>
        <cfvo type="max" val="0"/>
        <color rgb="FFF8696B"/>
        <color rgb="FFFCFCFF"/>
        <color rgb="FF5A8AC6"/>
      </colorScale>
    </cfRule>
    <cfRule type="colorScale" priority="12">
      <colorScale>
        <cfvo type="min" val="0"/>
        <cfvo type="percentile" val="50"/>
        <cfvo type="max" val="0"/>
        <color rgb="FFF8696B"/>
        <color rgb="FFFCFCFF"/>
        <color rgb="FF5A8AC6"/>
      </colorScale>
    </cfRule>
    <cfRule type="colorScale" priority="13">
      <colorScale>
        <cfvo type="min" val="0"/>
        <cfvo type="percentile" val="50"/>
        <cfvo type="max" val="0"/>
        <color rgb="FFF8696B"/>
        <color rgb="FFFCFCFF"/>
        <color rgb="FF5A8AC6"/>
      </colorScale>
    </cfRule>
    <cfRule type="colorScale" priority="14">
      <colorScale>
        <cfvo type="min" val="0"/>
        <cfvo type="percentile" val="50"/>
        <cfvo type="max" val="0"/>
        <color rgb="FFF8696B"/>
        <color rgb="FFFCFCFF"/>
        <color rgb="FF5A8AC6"/>
      </colorScale>
    </cfRule>
    <cfRule type="colorScale" priority="15">
      <colorScale>
        <cfvo type="min" val="0"/>
        <cfvo type="percentile" val="50"/>
        <cfvo type="max" val="0"/>
        <color rgb="FFF8696B"/>
        <color rgb="FFFCFCFF"/>
        <color rgb="FF5A8AC6"/>
      </colorScale>
    </cfRule>
    <cfRule type="colorScale" priority="16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8.78"/>
    <col collapsed="false" customWidth="true" hidden="false" outlineLevel="0" max="2" min="2" style="0" width="10.78"/>
    <col collapsed="false" customWidth="true" hidden="false" outlineLevel="0" max="3" min="3" style="0" width="10.44"/>
    <col collapsed="false" customWidth="true" hidden="false" outlineLevel="0" max="4" min="4" style="0" width="41.11"/>
    <col collapsed="false" customWidth="true" hidden="false" outlineLevel="0" max="5" min="5" style="0" width="15.44"/>
    <col collapsed="false" customWidth="true" hidden="false" outlineLevel="0" max="6" min="6" style="0" width="15.78"/>
    <col collapsed="false" customWidth="true" hidden="false" outlineLevel="0" max="7" min="7" style="0" width="15.56"/>
    <col collapsed="false" customWidth="true" hidden="false" outlineLevel="0" max="8" min="8" style="0" width="16"/>
    <col collapsed="false" customWidth="true" hidden="false" outlineLevel="0" max="9" min="9" style="0" width="7.78"/>
  </cols>
  <sheetData>
    <row r="1" customFormat="false" ht="13.8" hidden="false" customHeight="false" outlineLevel="0" collapsed="false">
      <c r="A1" s="153" t="s">
        <v>268</v>
      </c>
      <c r="B1" s="153" t="s">
        <v>269</v>
      </c>
      <c r="C1" s="153" t="s">
        <v>13</v>
      </c>
      <c r="D1" s="153" t="s">
        <v>41</v>
      </c>
      <c r="E1" s="153" t="s">
        <v>270</v>
      </c>
      <c r="F1" s="153" t="s">
        <v>271</v>
      </c>
      <c r="G1" s="153" t="s">
        <v>272</v>
      </c>
      <c r="H1" s="153" t="s">
        <v>273</v>
      </c>
      <c r="I1" s="153" t="s">
        <v>35</v>
      </c>
    </row>
    <row r="2" customFormat="false" ht="13.8" hidden="false" customHeight="false" outlineLevel="0" collapsed="false">
      <c r="A2" s="26" t="n">
        <v>41477</v>
      </c>
      <c r="B2" s="26" t="n">
        <v>40976</v>
      </c>
      <c r="C2" s="26" t="n">
        <v>40976</v>
      </c>
      <c r="D2" s="26" t="s">
        <v>274</v>
      </c>
      <c r="E2" s="25" t="n">
        <v>0</v>
      </c>
      <c r="F2" s="25" t="n">
        <v>0</v>
      </c>
      <c r="G2" s="25" t="n">
        <v>0</v>
      </c>
      <c r="H2" s="25" t="n">
        <v>0</v>
      </c>
      <c r="I2" s="30" t="n">
        <v>100</v>
      </c>
    </row>
    <row r="3" customFormat="false" ht="13.8" hidden="false" customHeight="false" outlineLevel="0" collapsed="false">
      <c r="A3" s="26" t="n">
        <v>37725</v>
      </c>
      <c r="B3" s="26" t="n">
        <v>900846</v>
      </c>
      <c r="C3" s="26" t="n">
        <v>7898902180998</v>
      </c>
      <c r="D3" s="26" t="s">
        <v>21</v>
      </c>
      <c r="E3" s="25" t="n">
        <v>512</v>
      </c>
      <c r="F3" s="25" t="n">
        <v>1715</v>
      </c>
      <c r="G3" s="25" t="n">
        <v>1372</v>
      </c>
      <c r="H3" s="25" t="n">
        <v>2104</v>
      </c>
      <c r="I3" s="30" t="n">
        <v>1583</v>
      </c>
    </row>
    <row r="4" customFormat="false" ht="13.8" hidden="false" customHeight="false" outlineLevel="0" collapsed="false">
      <c r="A4" s="26" t="n">
        <v>40905</v>
      </c>
      <c r="B4" s="26" t="n">
        <v>400946</v>
      </c>
      <c r="C4" s="26" t="n">
        <v>7898902180387</v>
      </c>
      <c r="D4" s="26" t="s">
        <v>16</v>
      </c>
      <c r="E4" s="25" t="n">
        <v>15</v>
      </c>
      <c r="F4" s="25" t="n">
        <v>96</v>
      </c>
      <c r="G4" s="25" t="n">
        <v>138</v>
      </c>
      <c r="H4" s="25" t="n">
        <v>0</v>
      </c>
      <c r="I4" s="30" t="n">
        <v>951</v>
      </c>
    </row>
    <row r="5" customFormat="false" ht="13.8" hidden="false" customHeight="false" outlineLevel="0" collapsed="false">
      <c r="A5" s="26" t="n">
        <v>39038</v>
      </c>
      <c r="B5" s="26" t="n">
        <v>400746</v>
      </c>
      <c r="C5" s="26" t="n">
        <v>7898902180134</v>
      </c>
      <c r="D5" s="26" t="s">
        <v>22</v>
      </c>
      <c r="E5" s="25" t="n">
        <v>317</v>
      </c>
      <c r="F5" s="25" t="n">
        <v>1152</v>
      </c>
      <c r="G5" s="25" t="n">
        <v>1138</v>
      </c>
      <c r="H5" s="25" t="n">
        <v>2010</v>
      </c>
      <c r="I5" s="30" t="n">
        <v>1373</v>
      </c>
    </row>
    <row r="6" customFormat="false" ht="13.8" hidden="false" customHeight="false" outlineLevel="0" collapsed="false">
      <c r="A6" s="26" t="n">
        <v>37723</v>
      </c>
      <c r="B6" s="26" t="n">
        <v>900746</v>
      </c>
      <c r="C6" s="26" t="n">
        <v>7898902180745</v>
      </c>
      <c r="D6" s="26" t="s">
        <v>275</v>
      </c>
      <c r="E6" s="25" t="n">
        <v>73</v>
      </c>
      <c r="F6" s="25" t="n">
        <v>385</v>
      </c>
      <c r="G6" s="25" t="n">
        <v>445</v>
      </c>
      <c r="H6" s="25" t="n">
        <v>633</v>
      </c>
      <c r="I6" s="30" t="n">
        <v>639</v>
      </c>
    </row>
    <row r="7" customFormat="false" ht="13.8" hidden="false" customHeight="false" outlineLevel="0" collapsed="false">
      <c r="A7" s="26" t="n">
        <v>37724</v>
      </c>
      <c r="B7" s="26" t="n">
        <v>900747</v>
      </c>
      <c r="C7" s="26" t="n">
        <v>7898902180752</v>
      </c>
      <c r="D7" s="26" t="s">
        <v>276</v>
      </c>
      <c r="E7" s="25" t="n">
        <v>0</v>
      </c>
      <c r="F7" s="25" t="n">
        <v>0</v>
      </c>
      <c r="G7" s="25" t="n">
        <v>0</v>
      </c>
      <c r="H7" s="25" t="n">
        <v>0</v>
      </c>
      <c r="I7" s="30" t="n">
        <v>0</v>
      </c>
    </row>
    <row r="8" customFormat="false" ht="13.8" hidden="false" customHeight="false" outlineLevel="0" collapsed="false">
      <c r="A8" s="26" t="n">
        <v>37722</v>
      </c>
      <c r="B8" s="26" t="n">
        <v>1000350</v>
      </c>
      <c r="C8" s="26" t="n">
        <v>7898902180981</v>
      </c>
      <c r="D8" s="26" t="s">
        <v>277</v>
      </c>
      <c r="E8" s="25" t="n">
        <v>268</v>
      </c>
      <c r="F8" s="25" t="n">
        <v>2218</v>
      </c>
      <c r="G8" s="25" t="n">
        <v>2971</v>
      </c>
      <c r="H8" s="25" t="n">
        <v>4464</v>
      </c>
      <c r="I8" s="30" t="n">
        <v>4364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171875" defaultRowHeight="9.75" customHeight="true" zeroHeight="false" outlineLevelRow="0" outlineLevelCol="0"/>
  <cols>
    <col collapsed="false" customWidth="true" hidden="false" outlineLevel="0" max="2" min="2" style="0" width="55.44"/>
    <col collapsed="false" customWidth="true" hidden="false" outlineLevel="0" max="4" min="3" style="0" width="14.11"/>
    <col collapsed="false" customWidth="true" hidden="false" outlineLevel="0" max="7" min="7" style="0" width="12.89"/>
    <col collapsed="false" customWidth="true" hidden="false" outlineLevel="0" max="10" min="10" style="0" width="12.89"/>
  </cols>
  <sheetData>
    <row r="1" customFormat="false" ht="13.8" hidden="false" customHeight="false" outlineLevel="0" collapsed="false">
      <c r="A1" s="25"/>
      <c r="B1" s="25"/>
      <c r="C1" s="25"/>
      <c r="D1" s="25"/>
      <c r="E1" s="154" t="s">
        <v>9</v>
      </c>
      <c r="F1" s="154"/>
      <c r="G1" s="154"/>
      <c r="H1" s="154" t="s">
        <v>8</v>
      </c>
      <c r="I1" s="154"/>
      <c r="J1" s="154"/>
    </row>
    <row r="2" customFormat="false" ht="13.8" hidden="false" customHeight="false" outlineLevel="0" collapsed="false">
      <c r="A2" s="155" t="s">
        <v>278</v>
      </c>
      <c r="B2" s="155" t="s">
        <v>65</v>
      </c>
      <c r="C2" s="155" t="s">
        <v>13</v>
      </c>
      <c r="D2" s="156" t="s">
        <v>279</v>
      </c>
      <c r="E2" s="156" t="s">
        <v>280</v>
      </c>
      <c r="F2" s="156" t="s">
        <v>281</v>
      </c>
      <c r="G2" s="157" t="s">
        <v>282</v>
      </c>
      <c r="H2" s="155" t="s">
        <v>280</v>
      </c>
      <c r="I2" s="155" t="s">
        <v>281</v>
      </c>
      <c r="J2" s="158" t="s">
        <v>282</v>
      </c>
    </row>
    <row r="3" customFormat="false" ht="13.8" hidden="false" customHeight="false" outlineLevel="0" collapsed="false">
      <c r="A3" s="25" t="s">
        <v>283</v>
      </c>
      <c r="B3" s="25" t="s">
        <v>284</v>
      </c>
      <c r="C3" s="25" t="s">
        <v>160</v>
      </c>
      <c r="D3" s="159" t="n">
        <v>691</v>
      </c>
      <c r="E3" s="86" t="s">
        <v>285</v>
      </c>
      <c r="F3" s="86" t="n">
        <v>651</v>
      </c>
      <c r="G3" s="160" t="n">
        <v>16284.98</v>
      </c>
      <c r="H3" s="86" t="s">
        <v>286</v>
      </c>
      <c r="I3" s="86" t="n">
        <v>414</v>
      </c>
      <c r="J3" s="160" t="n">
        <v>10433.5</v>
      </c>
    </row>
    <row r="4" customFormat="false" ht="13.8" hidden="false" customHeight="false" outlineLevel="0" collapsed="false">
      <c r="A4" s="25" t="s">
        <v>287</v>
      </c>
      <c r="B4" s="25" t="s">
        <v>288</v>
      </c>
      <c r="C4" s="25" t="s">
        <v>174</v>
      </c>
      <c r="D4" s="159" t="n">
        <v>276</v>
      </c>
      <c r="E4" s="86" t="s">
        <v>289</v>
      </c>
      <c r="F4" s="86" t="n">
        <v>193</v>
      </c>
      <c r="G4" s="160" t="n">
        <v>3765.31</v>
      </c>
      <c r="H4" s="86" t="s">
        <v>290</v>
      </c>
      <c r="I4" s="86" t="n">
        <v>219</v>
      </c>
      <c r="J4" s="160" t="n">
        <v>4379.39</v>
      </c>
    </row>
    <row r="5" customFormat="false" ht="13.8" hidden="false" customHeight="false" outlineLevel="0" collapsed="false">
      <c r="A5" s="25" t="s">
        <v>291</v>
      </c>
      <c r="B5" s="25" t="s">
        <v>292</v>
      </c>
      <c r="C5" s="25" t="s">
        <v>158</v>
      </c>
      <c r="D5" s="159" t="n">
        <v>1277</v>
      </c>
      <c r="E5" s="86" t="s">
        <v>293</v>
      </c>
      <c r="F5" s="86" t="n">
        <v>136</v>
      </c>
      <c r="G5" s="160" t="n">
        <v>3145.86</v>
      </c>
      <c r="H5" s="86" t="s">
        <v>294</v>
      </c>
      <c r="I5" s="86" t="n">
        <v>80</v>
      </c>
      <c r="J5" s="160" t="n">
        <v>1855.45</v>
      </c>
    </row>
    <row r="6" customFormat="false" ht="13.8" hidden="false" customHeight="false" outlineLevel="0" collapsed="false">
      <c r="A6" s="25" t="s">
        <v>295</v>
      </c>
      <c r="B6" s="25" t="s">
        <v>296</v>
      </c>
      <c r="C6" s="25" t="s">
        <v>162</v>
      </c>
      <c r="D6" s="159" t="n">
        <v>1157</v>
      </c>
      <c r="E6" s="86" t="s">
        <v>297</v>
      </c>
      <c r="F6" s="86" t="n">
        <v>441</v>
      </c>
      <c r="G6" s="160" t="n">
        <v>3021.14</v>
      </c>
      <c r="H6" s="86" t="s">
        <v>298</v>
      </c>
      <c r="I6" s="86" t="n">
        <v>123</v>
      </c>
      <c r="J6" s="160" t="n">
        <v>1247.7</v>
      </c>
    </row>
    <row r="7" customFormat="false" ht="13.8" hidden="false" customHeight="false" outlineLevel="0" collapsed="false">
      <c r="A7" s="25" t="s">
        <v>299</v>
      </c>
      <c r="B7" s="25" t="s">
        <v>300</v>
      </c>
      <c r="C7" s="25" t="s">
        <v>170</v>
      </c>
      <c r="D7" s="159" t="n">
        <v>149</v>
      </c>
      <c r="E7" s="86" t="s">
        <v>301</v>
      </c>
      <c r="F7" s="86" t="n">
        <v>231</v>
      </c>
      <c r="G7" s="160" t="n">
        <v>2350.68</v>
      </c>
      <c r="H7" s="86" t="s">
        <v>286</v>
      </c>
      <c r="I7" s="86" t="n">
        <v>118</v>
      </c>
      <c r="J7" s="160" t="n">
        <v>938.93</v>
      </c>
    </row>
    <row r="8" customFormat="false" ht="13.8" hidden="false" customHeight="false" outlineLevel="0" collapsed="false">
      <c r="A8" s="25" t="s">
        <v>17</v>
      </c>
      <c r="B8" s="25" t="s">
        <v>302</v>
      </c>
      <c r="C8" s="25"/>
      <c r="D8" s="159"/>
      <c r="E8" s="86"/>
      <c r="F8" s="86" t="n">
        <v>1652</v>
      </c>
      <c r="G8" s="160" t="n">
        <v>28567.97</v>
      </c>
      <c r="H8" s="86"/>
      <c r="I8" s="86" t="n">
        <v>954</v>
      </c>
      <c r="J8" s="160" t="n">
        <v>18854.97</v>
      </c>
    </row>
    <row r="9" customFormat="false" ht="14.25" hidden="false" customHeight="false" outlineLevel="0" collapsed="false">
      <c r="A9" s="25"/>
      <c r="B9" s="25"/>
      <c r="C9" s="25"/>
      <c r="D9" s="25"/>
      <c r="E9" s="25"/>
      <c r="F9" s="25"/>
      <c r="G9" s="161"/>
      <c r="H9" s="25"/>
      <c r="I9" s="25"/>
      <c r="J9" s="25"/>
    </row>
  </sheetData>
  <mergeCells count="2">
    <mergeCell ref="E1:G1"/>
    <mergeCell ref="H1:J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39.66"/>
  </cols>
  <sheetData>
    <row r="1" customFormat="false" ht="13.8" hidden="false" customHeight="true" outlineLevel="0" collapsed="false">
      <c r="C1" s="162" t="s">
        <v>35</v>
      </c>
      <c r="D1" s="163" t="s">
        <v>154</v>
      </c>
      <c r="E1" s="163" t="s">
        <v>153</v>
      </c>
    </row>
    <row r="2" customFormat="false" ht="9.75" hidden="false" customHeight="false" outlineLevel="0" collapsed="false">
      <c r="A2" s="164" t="s">
        <v>303</v>
      </c>
      <c r="B2" s="164" t="s">
        <v>41</v>
      </c>
      <c r="C2" s="162"/>
      <c r="D2" s="165" t="s">
        <v>304</v>
      </c>
      <c r="E2" s="165" t="s">
        <v>304</v>
      </c>
    </row>
    <row r="3" customFormat="false" ht="9.75" hidden="false" customHeight="false" outlineLevel="0" collapsed="false">
      <c r="A3" s="166" t="s">
        <v>162</v>
      </c>
      <c r="B3" s="167" t="s">
        <v>305</v>
      </c>
      <c r="C3" s="168" t="s">
        <v>306</v>
      </c>
      <c r="D3" s="169" t="n">
        <v>1733</v>
      </c>
      <c r="E3" s="169" t="n">
        <v>1318</v>
      </c>
    </row>
    <row r="4" customFormat="false" ht="9.75" hidden="false" customHeight="false" outlineLevel="0" collapsed="false">
      <c r="A4" s="166" t="s">
        <v>160</v>
      </c>
      <c r="B4" s="167" t="s">
        <v>307</v>
      </c>
      <c r="C4" s="168" t="s">
        <v>308</v>
      </c>
      <c r="D4" s="169" t="n">
        <v>4</v>
      </c>
      <c r="E4" s="169" t="n">
        <v>27</v>
      </c>
    </row>
    <row r="5" customFormat="false" ht="9.75" hidden="false" customHeight="false" outlineLevel="0" collapsed="false">
      <c r="A5" s="166" t="s">
        <v>170</v>
      </c>
      <c r="B5" s="167" t="s">
        <v>309</v>
      </c>
      <c r="C5" s="168" t="s">
        <v>310</v>
      </c>
      <c r="D5" s="169" t="n">
        <v>197</v>
      </c>
      <c r="E5" s="169" t="n">
        <v>244</v>
      </c>
    </row>
    <row r="6" customFormat="false" ht="9.75" hidden="false" customHeight="false" outlineLevel="0" collapsed="false">
      <c r="A6" s="166" t="s">
        <v>174</v>
      </c>
      <c r="B6" s="167" t="s">
        <v>311</v>
      </c>
      <c r="C6" s="168" t="s">
        <v>312</v>
      </c>
      <c r="D6" s="169" t="n">
        <v>75</v>
      </c>
      <c r="E6" s="169" t="n">
        <v>175</v>
      </c>
    </row>
    <row r="7" customFormat="false" ht="9.75" hidden="false" customHeight="false" outlineLevel="0" collapsed="false">
      <c r="A7" s="166" t="s">
        <v>158</v>
      </c>
      <c r="B7" s="167" t="s">
        <v>313</v>
      </c>
      <c r="C7" s="168" t="s">
        <v>314</v>
      </c>
      <c r="D7" s="169" t="n">
        <v>380</v>
      </c>
      <c r="E7" s="169" t="n">
        <v>409</v>
      </c>
    </row>
    <row r="8" customFormat="false" ht="9.75" hidden="false" customHeight="true" outlineLevel="0" collapsed="false">
      <c r="A8" s="166" t="s">
        <v>315</v>
      </c>
      <c r="B8" s="166"/>
      <c r="C8" s="166"/>
      <c r="D8" s="169" t="n">
        <v>2389</v>
      </c>
      <c r="E8" s="169" t="n">
        <f aca="false">SUM(E3:E7)</f>
        <v>2173</v>
      </c>
    </row>
  </sheetData>
  <mergeCells count="2">
    <mergeCell ref="C1:C2"/>
    <mergeCell ref="A8:C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14.11"/>
    <col collapsed="false" customWidth="true" hidden="false" outlineLevel="0" max="2" min="2" style="0" width="40"/>
    <col collapsed="false" customWidth="true" hidden="false" outlineLevel="0" max="3" min="3" style="0" width="13.66"/>
    <col collapsed="false" customWidth="true" hidden="false" outlineLevel="0" max="4" min="4" style="0" width="16.66"/>
    <col collapsed="false" customWidth="true" hidden="false" outlineLevel="0" max="5" min="5" style="0" width="15.88"/>
    <col collapsed="false" customWidth="true" hidden="false" outlineLevel="0" max="6" min="6" style="0" width="10.88"/>
  </cols>
  <sheetData>
    <row r="1" customFormat="false" ht="13.8" hidden="false" customHeight="false" outlineLevel="0" collapsed="false">
      <c r="A1" s="25" t="s">
        <v>13</v>
      </c>
      <c r="B1" s="25" t="s">
        <v>41</v>
      </c>
      <c r="C1" s="25" t="s">
        <v>316</v>
      </c>
      <c r="D1" s="170" t="s">
        <v>154</v>
      </c>
      <c r="E1" s="170" t="s">
        <v>153</v>
      </c>
      <c r="F1" s="170" t="s">
        <v>35</v>
      </c>
    </row>
    <row r="2" customFormat="false" ht="13.8" hidden="false" customHeight="false" outlineLevel="0" collapsed="false">
      <c r="A2" s="25" t="s">
        <v>158</v>
      </c>
      <c r="B2" s="25" t="s">
        <v>317</v>
      </c>
      <c r="C2" s="170" t="s">
        <v>19</v>
      </c>
      <c r="D2" s="25" t="n">
        <v>1880</v>
      </c>
      <c r="E2" s="25" t="n">
        <v>788</v>
      </c>
      <c r="F2" s="27" t="n">
        <v>3157</v>
      </c>
    </row>
    <row r="3" customFormat="false" ht="13.8" hidden="false" customHeight="false" outlineLevel="0" collapsed="false">
      <c r="A3" s="25" t="s">
        <v>160</v>
      </c>
      <c r="B3" s="25" t="s">
        <v>318</v>
      </c>
      <c r="C3" s="170" t="s">
        <v>19</v>
      </c>
      <c r="D3" s="25" t="n">
        <v>45</v>
      </c>
      <c r="E3" s="25" t="n">
        <v>40</v>
      </c>
      <c r="F3" s="27" t="n">
        <v>2290</v>
      </c>
    </row>
    <row r="4" customFormat="false" ht="13.8" hidden="false" customHeight="false" outlineLevel="0" collapsed="false">
      <c r="A4" s="25" t="s">
        <v>162</v>
      </c>
      <c r="B4" s="25" t="s">
        <v>319</v>
      </c>
      <c r="C4" s="170" t="s">
        <v>19</v>
      </c>
      <c r="D4" s="25" t="n">
        <v>6163</v>
      </c>
      <c r="E4" s="25" t="n">
        <v>2699</v>
      </c>
      <c r="F4" s="27" t="n">
        <v>17586</v>
      </c>
    </row>
    <row r="5" customFormat="false" ht="13.8" hidden="false" customHeight="false" outlineLevel="0" collapsed="false">
      <c r="A5" s="25" t="s">
        <v>170</v>
      </c>
      <c r="B5" s="25" t="s">
        <v>320</v>
      </c>
      <c r="C5" s="170" t="s">
        <v>19</v>
      </c>
      <c r="D5" s="25" t="n">
        <v>91</v>
      </c>
      <c r="E5" s="25" t="n">
        <v>38</v>
      </c>
      <c r="F5" s="27" t="n">
        <v>535</v>
      </c>
    </row>
    <row r="6" customFormat="false" ht="13.8" hidden="false" customHeight="false" outlineLevel="0" collapsed="false">
      <c r="A6" s="25" t="s">
        <v>174</v>
      </c>
      <c r="B6" s="25" t="s">
        <v>321</v>
      </c>
      <c r="C6" s="170" t="s">
        <v>19</v>
      </c>
      <c r="D6" s="25" t="n">
        <v>75</v>
      </c>
      <c r="E6" s="25" t="n">
        <v>3</v>
      </c>
      <c r="F6" s="27" t="n">
        <v>336</v>
      </c>
    </row>
    <row r="7" customFormat="false" ht="14.25" hidden="false" customHeight="false" outlineLevel="0" collapsed="false">
      <c r="A7" s="25"/>
      <c r="B7" s="25"/>
      <c r="C7" s="25"/>
      <c r="D7" s="25"/>
      <c r="E7" s="25"/>
      <c r="F7" s="2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O18" activeCellId="0" sqref="O18"/>
    </sheetView>
  </sheetViews>
  <sheetFormatPr defaultColWidth="8.6171875" defaultRowHeight="9.75" customHeight="true" zeroHeight="false" outlineLevelRow="0" outlineLevelCol="0"/>
  <cols>
    <col collapsed="false" customWidth="true" hidden="false" outlineLevel="0" max="3" min="3" style="0" width="27.44"/>
    <col collapsed="false" customWidth="true" hidden="false" outlineLevel="0" max="15" min="15" style="0" width="10.22"/>
    <col collapsed="false" customWidth="true" hidden="false" outlineLevel="0" max="16" min="16" style="0" width="13"/>
    <col collapsed="false" customWidth="true" hidden="false" outlineLevel="0" max="17" min="17" style="0" width="9.88"/>
    <col collapsed="false" customWidth="true" hidden="false" outlineLevel="0" max="18" min="18" style="0" width="10.88"/>
  </cols>
  <sheetData>
    <row r="1" customFormat="false" ht="13.5" hidden="false" customHeight="true" outlineLevel="0" collapsed="false">
      <c r="A1" s="171" t="s">
        <v>322</v>
      </c>
      <c r="B1" s="171" t="s">
        <v>38</v>
      </c>
      <c r="C1" s="171" t="s">
        <v>65</v>
      </c>
      <c r="D1" s="172" t="s">
        <v>323</v>
      </c>
      <c r="E1" s="171" t="s">
        <v>324</v>
      </c>
      <c r="F1" s="171" t="s">
        <v>325</v>
      </c>
      <c r="G1" s="172" t="s">
        <v>326</v>
      </c>
      <c r="H1" s="172"/>
      <c r="I1" s="172"/>
      <c r="J1" s="172" t="s">
        <v>327</v>
      </c>
      <c r="K1" s="172"/>
      <c r="L1" s="172"/>
      <c r="M1" s="172"/>
      <c r="N1" s="173"/>
      <c r="O1" s="174"/>
      <c r="P1" s="171" t="s">
        <v>328</v>
      </c>
      <c r="Q1" s="171" t="s">
        <v>329</v>
      </c>
      <c r="R1" s="171" t="s">
        <v>13</v>
      </c>
    </row>
    <row r="2" customFormat="false" ht="26.85" hidden="false" customHeight="false" outlineLevel="0" collapsed="false">
      <c r="A2" s="171"/>
      <c r="B2" s="171"/>
      <c r="C2" s="171"/>
      <c r="D2" s="172"/>
      <c r="E2" s="171"/>
      <c r="F2" s="171"/>
      <c r="G2" s="171" t="s">
        <v>330</v>
      </c>
      <c r="H2" s="171" t="s">
        <v>331</v>
      </c>
      <c r="I2" s="171" t="s">
        <v>332</v>
      </c>
      <c r="J2" s="171" t="s">
        <v>333</v>
      </c>
      <c r="K2" s="171" t="s">
        <v>334</v>
      </c>
      <c r="L2" s="171" t="s">
        <v>335</v>
      </c>
      <c r="M2" s="171" t="s">
        <v>336</v>
      </c>
      <c r="N2" s="171" t="s">
        <v>337</v>
      </c>
      <c r="O2" s="171" t="s">
        <v>338</v>
      </c>
      <c r="P2" s="172" t="s">
        <v>339</v>
      </c>
      <c r="Q2" s="171" t="s">
        <v>340</v>
      </c>
      <c r="R2" s="171"/>
    </row>
    <row r="3" customFormat="false" ht="9.75" hidden="false" customHeight="false" outlineLevel="0" collapsed="false">
      <c r="A3" s="175" t="s">
        <v>341</v>
      </c>
      <c r="B3" s="176" t="n">
        <v>25177</v>
      </c>
      <c r="C3" s="177" t="s">
        <v>342</v>
      </c>
      <c r="D3" s="178" t="n">
        <v>14.2025</v>
      </c>
      <c r="E3" s="175" t="n">
        <v>60</v>
      </c>
      <c r="F3" s="179" t="n">
        <v>0</v>
      </c>
      <c r="G3" s="179" t="n">
        <v>14.95</v>
      </c>
      <c r="H3" s="180" t="n">
        <v>660</v>
      </c>
      <c r="I3" s="181" t="n">
        <v>45770</v>
      </c>
      <c r="J3" s="182" t="n">
        <v>224</v>
      </c>
      <c r="K3" s="182" t="n">
        <v>269</v>
      </c>
      <c r="L3" s="182" t="n">
        <v>188</v>
      </c>
      <c r="M3" s="182" t="n">
        <v>169</v>
      </c>
      <c r="N3" s="182" t="n">
        <v>53</v>
      </c>
      <c r="O3" s="183" t="n">
        <v>843</v>
      </c>
      <c r="P3" s="180" t="n">
        <v>0</v>
      </c>
      <c r="Q3" s="179" t="n">
        <v>-334</v>
      </c>
      <c r="R3" s="184" t="s">
        <v>158</v>
      </c>
    </row>
    <row r="4" customFormat="false" ht="9.75" hidden="false" customHeight="false" outlineLevel="0" collapsed="false">
      <c r="A4" s="175" t="s">
        <v>341</v>
      </c>
      <c r="B4" s="176" t="n">
        <v>25176</v>
      </c>
      <c r="C4" s="177" t="s">
        <v>343</v>
      </c>
      <c r="D4" s="178" t="n">
        <v>6.0135</v>
      </c>
      <c r="E4" s="175" t="n">
        <v>60</v>
      </c>
      <c r="F4" s="179" t="n">
        <v>0</v>
      </c>
      <c r="G4" s="179" t="n">
        <v>6.33</v>
      </c>
      <c r="H4" s="180" t="n">
        <v>1800</v>
      </c>
      <c r="I4" s="181" t="n">
        <v>45770</v>
      </c>
      <c r="J4" s="182" t="n">
        <v>396</v>
      </c>
      <c r="K4" s="182" t="n">
        <v>782</v>
      </c>
      <c r="L4" s="182" t="n">
        <v>518</v>
      </c>
      <c r="M4" s="182" t="n">
        <v>628</v>
      </c>
      <c r="N4" s="182" t="n">
        <v>315</v>
      </c>
      <c r="O4" s="183" t="n">
        <v>1621</v>
      </c>
      <c r="P4" s="180" t="n">
        <v>0</v>
      </c>
      <c r="Q4" s="179" t="n">
        <v>-774</v>
      </c>
      <c r="R4" s="184" t="s">
        <v>162</v>
      </c>
    </row>
    <row r="5" customFormat="false" ht="9.75" hidden="false" customHeight="false" outlineLevel="0" collapsed="false">
      <c r="A5" s="175" t="s">
        <v>341</v>
      </c>
      <c r="B5" s="176" t="n">
        <v>25174</v>
      </c>
      <c r="C5" s="177" t="s">
        <v>344</v>
      </c>
      <c r="D5" s="178" t="n">
        <v>7.41</v>
      </c>
      <c r="E5" s="175" t="n">
        <v>60</v>
      </c>
      <c r="F5" s="179" t="n">
        <v>0</v>
      </c>
      <c r="G5" s="179" t="n">
        <v>7.8</v>
      </c>
      <c r="H5" s="180" t="n">
        <v>360</v>
      </c>
      <c r="I5" s="181" t="n">
        <v>45770</v>
      </c>
      <c r="J5" s="182" t="n">
        <v>65</v>
      </c>
      <c r="K5" s="182" t="n">
        <v>154</v>
      </c>
      <c r="L5" s="182" t="n">
        <v>137</v>
      </c>
      <c r="M5" s="182" t="n">
        <v>164</v>
      </c>
      <c r="N5" s="182" t="n">
        <v>46</v>
      </c>
      <c r="O5" s="183" t="n">
        <v>330</v>
      </c>
      <c r="P5" s="180" t="n">
        <v>0</v>
      </c>
      <c r="Q5" s="179" t="n">
        <v>-129</v>
      </c>
      <c r="R5" s="184" t="s">
        <v>170</v>
      </c>
    </row>
    <row r="6" customFormat="false" ht="9.75" hidden="false" customHeight="false" outlineLevel="0" collapsed="false">
      <c r="A6" s="175" t="s">
        <v>341</v>
      </c>
      <c r="B6" s="176" t="n">
        <v>25175</v>
      </c>
      <c r="C6" s="177" t="s">
        <v>345</v>
      </c>
      <c r="D6" s="178" t="n">
        <v>9.69</v>
      </c>
      <c r="E6" s="175" t="n">
        <v>60</v>
      </c>
      <c r="F6" s="179" t="n">
        <v>0</v>
      </c>
      <c r="G6" s="179" t="n">
        <v>9.69</v>
      </c>
      <c r="H6" s="180" t="n">
        <v>60</v>
      </c>
      <c r="I6" s="181" t="n">
        <v>45482</v>
      </c>
      <c r="J6" s="182" t="n">
        <v>19</v>
      </c>
      <c r="K6" s="182" t="n">
        <v>45</v>
      </c>
      <c r="L6" s="182" t="n">
        <v>48</v>
      </c>
      <c r="M6" s="182" t="n">
        <v>15</v>
      </c>
      <c r="N6" s="182" t="n">
        <v>0</v>
      </c>
      <c r="O6" s="183" t="n">
        <v>1</v>
      </c>
      <c r="P6" s="180" t="n">
        <v>0</v>
      </c>
      <c r="Q6" s="179" t="n">
        <v>74</v>
      </c>
      <c r="R6" s="184" t="s">
        <v>172</v>
      </c>
    </row>
    <row r="7" customFormat="false" ht="9.75" hidden="false" customHeight="false" outlineLevel="0" collapsed="false">
      <c r="A7" s="175" t="s">
        <v>346</v>
      </c>
      <c r="B7" s="176" t="n">
        <v>25173</v>
      </c>
      <c r="C7" s="177" t="s">
        <v>347</v>
      </c>
      <c r="D7" s="178" t="n">
        <v>15</v>
      </c>
      <c r="E7" s="175" t="n">
        <v>12</v>
      </c>
      <c r="F7" s="179" t="n">
        <v>7.8</v>
      </c>
      <c r="G7" s="179" t="n">
        <v>15.361481</v>
      </c>
      <c r="H7" s="180" t="n">
        <v>108</v>
      </c>
      <c r="I7" s="181" t="n">
        <v>45726</v>
      </c>
      <c r="J7" s="182" t="n">
        <v>10</v>
      </c>
      <c r="K7" s="182" t="n">
        <v>15</v>
      </c>
      <c r="L7" s="182" t="n">
        <v>43</v>
      </c>
      <c r="M7" s="182" t="n">
        <v>74</v>
      </c>
      <c r="N7" s="182" t="n">
        <v>0</v>
      </c>
      <c r="O7" s="183" t="n">
        <v>0</v>
      </c>
      <c r="P7" s="180" t="n">
        <v>0</v>
      </c>
      <c r="Q7" s="179" t="n">
        <v>80</v>
      </c>
      <c r="R7" s="184" t="s">
        <v>174</v>
      </c>
    </row>
  </sheetData>
  <mergeCells count="9">
    <mergeCell ref="A1:A2"/>
    <mergeCell ref="B1:B2"/>
    <mergeCell ref="C1:C2"/>
    <mergeCell ref="D1:D2"/>
    <mergeCell ref="E1:E2"/>
    <mergeCell ref="F1:F2"/>
    <mergeCell ref="G1:I1"/>
    <mergeCell ref="J1:M1"/>
    <mergeCell ref="R1:R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" min="1" style="0" width="33.44"/>
    <col collapsed="false" customWidth="true" hidden="false" outlineLevel="0" max="2" min="2" style="0" width="12.11"/>
    <col collapsed="false" customWidth="true" hidden="false" outlineLevel="0" max="3" min="3" style="0" width="22.11"/>
    <col collapsed="false" customWidth="true" hidden="false" outlineLevel="0" max="4" min="4" style="0" width="13.66"/>
    <col collapsed="false" customWidth="true" hidden="false" outlineLevel="0" max="5" min="5" style="0" width="15.11"/>
    <col collapsed="false" customWidth="true" hidden="false" outlineLevel="0" max="11" min="11" style="0" width="14.22"/>
    <col collapsed="false" customWidth="true" hidden="false" outlineLevel="0" max="12" min="12" style="0" width="22.34"/>
    <col collapsed="false" customWidth="true" hidden="false" outlineLevel="0" max="13" min="13" style="0" width="10"/>
  </cols>
  <sheetData>
    <row r="1" customFormat="false" ht="12.65" hidden="false" customHeight="false" outlineLevel="0" collapsed="false">
      <c r="A1" s="185"/>
      <c r="B1" s="185"/>
      <c r="C1" s="185"/>
      <c r="D1" s="185"/>
      <c r="E1" s="185"/>
      <c r="F1" s="185" t="s">
        <v>348</v>
      </c>
      <c r="G1" s="185" t="s">
        <v>349</v>
      </c>
      <c r="H1" s="186"/>
      <c r="I1" s="186"/>
      <c r="J1" s="186"/>
      <c r="K1" s="187" t="s">
        <v>279</v>
      </c>
      <c r="L1" s="187"/>
      <c r="M1" s="187"/>
    </row>
    <row r="2" customFormat="false" ht="12.65" hidden="false" customHeight="false" outlineLevel="0" collapsed="false">
      <c r="A2" s="185"/>
      <c r="B2" s="185"/>
      <c r="C2" s="185"/>
      <c r="D2" s="185"/>
      <c r="E2" s="185"/>
      <c r="F2" s="185" t="s">
        <v>350</v>
      </c>
      <c r="G2" s="185"/>
      <c r="H2" s="185"/>
      <c r="I2" s="185"/>
      <c r="J2" s="185"/>
      <c r="K2" s="187"/>
      <c r="L2" s="187"/>
      <c r="M2" s="187"/>
    </row>
    <row r="3" customFormat="false" ht="13.8" hidden="false" customHeight="false" outlineLevel="0" collapsed="false">
      <c r="A3" s="185" t="s">
        <v>41</v>
      </c>
      <c r="B3" s="185" t="s">
        <v>351</v>
      </c>
      <c r="C3" s="186" t="s">
        <v>352</v>
      </c>
      <c r="D3" s="185" t="s">
        <v>353</v>
      </c>
      <c r="E3" s="186" t="s">
        <v>354</v>
      </c>
      <c r="F3" s="188" t="s">
        <v>341</v>
      </c>
      <c r="G3" s="188" t="s">
        <v>346</v>
      </c>
      <c r="H3" s="188" t="s">
        <v>355</v>
      </c>
      <c r="I3" s="188" t="s">
        <v>356</v>
      </c>
      <c r="J3" s="188" t="s">
        <v>357</v>
      </c>
      <c r="K3" s="189" t="s">
        <v>358</v>
      </c>
      <c r="L3" s="189" t="s">
        <v>359</v>
      </c>
      <c r="M3" s="189" t="s">
        <v>360</v>
      </c>
    </row>
    <row r="4" customFormat="false" ht="13.8" hidden="false" customHeight="false" outlineLevel="0" collapsed="false">
      <c r="A4" s="186" t="s">
        <v>361</v>
      </c>
      <c r="B4" s="185" t="s">
        <v>247</v>
      </c>
      <c r="C4" s="186" t="s">
        <v>362</v>
      </c>
      <c r="D4" s="186" t="s">
        <v>363</v>
      </c>
      <c r="E4" s="186" t="s">
        <v>364</v>
      </c>
      <c r="F4" s="190" t="n">
        <v>1120</v>
      </c>
      <c r="G4" s="190" t="n">
        <v>1419</v>
      </c>
      <c r="H4" s="190" t="n">
        <v>1299</v>
      </c>
      <c r="I4" s="190" t="n">
        <v>1031</v>
      </c>
      <c r="J4" s="190" t="n">
        <v>453</v>
      </c>
      <c r="K4" s="191" t="n">
        <v>1165</v>
      </c>
      <c r="L4" s="191" t="n">
        <v>1398</v>
      </c>
      <c r="M4" s="192" t="n">
        <v>2563</v>
      </c>
    </row>
    <row r="5" customFormat="false" ht="13.8" hidden="false" customHeight="false" outlineLevel="0" collapsed="false">
      <c r="A5" s="186" t="s">
        <v>365</v>
      </c>
      <c r="B5" s="185" t="s">
        <v>247</v>
      </c>
      <c r="C5" s="186" t="s">
        <v>366</v>
      </c>
      <c r="D5" s="186" t="s">
        <v>367</v>
      </c>
      <c r="E5" s="186" t="s">
        <v>368</v>
      </c>
      <c r="F5" s="190" t="n">
        <v>776</v>
      </c>
      <c r="G5" s="190" t="n">
        <v>798</v>
      </c>
      <c r="H5" s="190" t="n">
        <v>961</v>
      </c>
      <c r="I5" s="190" t="n">
        <v>831</v>
      </c>
      <c r="J5" s="190" t="n">
        <v>558</v>
      </c>
      <c r="K5" s="191" t="n">
        <v>838</v>
      </c>
      <c r="L5" s="191" t="n">
        <v>556</v>
      </c>
      <c r="M5" s="192" t="n">
        <v>1394</v>
      </c>
    </row>
    <row r="6" customFormat="false" ht="13.8" hidden="false" customHeight="false" outlineLevel="0" collapsed="false">
      <c r="A6" s="186" t="s">
        <v>369</v>
      </c>
      <c r="B6" s="185" t="s">
        <v>247</v>
      </c>
      <c r="C6" s="186" t="s">
        <v>370</v>
      </c>
      <c r="D6" s="186" t="s">
        <v>371</v>
      </c>
      <c r="E6" s="186" t="s">
        <v>372</v>
      </c>
      <c r="F6" s="190" t="n">
        <v>110</v>
      </c>
      <c r="G6" s="190" t="n">
        <v>127</v>
      </c>
      <c r="H6" s="190" t="n">
        <v>147</v>
      </c>
      <c r="I6" s="190" t="n">
        <v>113</v>
      </c>
      <c r="J6" s="190" t="n">
        <v>62</v>
      </c>
      <c r="K6" s="191" t="n">
        <v>435</v>
      </c>
      <c r="L6" s="191" t="n">
        <v>58</v>
      </c>
      <c r="M6" s="192" t="n">
        <v>493</v>
      </c>
    </row>
    <row r="7" customFormat="false" ht="13.8" hidden="false" customHeight="false" outlineLevel="0" collapsed="false">
      <c r="A7" s="186" t="s">
        <v>373</v>
      </c>
      <c r="B7" s="185" t="s">
        <v>247</v>
      </c>
      <c r="C7" s="186" t="s">
        <v>374</v>
      </c>
      <c r="D7" s="186" t="s">
        <v>375</v>
      </c>
      <c r="E7" s="186" t="s">
        <v>376</v>
      </c>
      <c r="F7" s="190" t="n">
        <v>612</v>
      </c>
      <c r="G7" s="190" t="n">
        <v>614</v>
      </c>
      <c r="H7" s="190" t="n">
        <v>817</v>
      </c>
      <c r="I7" s="190" t="n">
        <v>541</v>
      </c>
      <c r="J7" s="190" t="n">
        <v>337</v>
      </c>
      <c r="K7" s="191" t="n">
        <v>618</v>
      </c>
      <c r="L7" s="191" t="n">
        <v>356</v>
      </c>
      <c r="M7" s="192" t="n">
        <v>974</v>
      </c>
    </row>
    <row r="8" customFormat="false" ht="13.8" hidden="false" customHeight="false" outlineLevel="0" collapsed="false">
      <c r="A8" s="186" t="s">
        <v>377</v>
      </c>
      <c r="B8" s="185" t="s">
        <v>247</v>
      </c>
      <c r="C8" s="186" t="s">
        <v>374</v>
      </c>
      <c r="D8" s="186" t="s">
        <v>378</v>
      </c>
      <c r="E8" s="186" t="s">
        <v>379</v>
      </c>
      <c r="F8" s="190"/>
      <c r="G8" s="190"/>
      <c r="H8" s="190"/>
      <c r="I8" s="190" t="n">
        <v>2</v>
      </c>
      <c r="J8" s="190" t="n">
        <v>167</v>
      </c>
      <c r="K8" s="191" t="n">
        <v>630</v>
      </c>
      <c r="L8" s="191" t="n">
        <v>39</v>
      </c>
      <c r="M8" s="192" t="n">
        <v>669</v>
      </c>
    </row>
    <row r="9" customFormat="false" ht="13.8" hidden="false" customHeight="false" outlineLevel="0" collapsed="false">
      <c r="A9" s="186"/>
      <c r="B9" s="186"/>
      <c r="C9" s="186"/>
      <c r="D9" s="186"/>
      <c r="E9" s="186"/>
      <c r="F9" s="190" t="n">
        <v>2618</v>
      </c>
      <c r="G9" s="190" t="n">
        <v>2958</v>
      </c>
      <c r="H9" s="190" t="n">
        <v>3224</v>
      </c>
      <c r="I9" s="190" t="n">
        <v>2518</v>
      </c>
      <c r="J9" s="190" t="n">
        <v>1577</v>
      </c>
      <c r="K9" s="193" t="n">
        <v>3686</v>
      </c>
      <c r="L9" s="193" t="n">
        <v>2407</v>
      </c>
      <c r="M9" s="193" t="n">
        <v>6093</v>
      </c>
    </row>
  </sheetData>
  <mergeCells count="1">
    <mergeCell ref="K1:M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4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L27" activeCellId="0" sqref="L27"/>
    </sheetView>
  </sheetViews>
  <sheetFormatPr defaultColWidth="8.6171875" defaultRowHeight="9.75" customHeight="true" zeroHeight="false" outlineLevelRow="0" outlineLevelCol="0"/>
  <cols>
    <col collapsed="false" customWidth="true" hidden="false" outlineLevel="0" max="19" min="19" style="0" width="9.22"/>
  </cols>
  <sheetData>
    <row r="1" customFormat="false" ht="17.35" hidden="false" customHeight="false" outlineLevel="0" collapsed="false">
      <c r="A1" s="101"/>
      <c r="B1" s="194" t="n">
        <v>45790</v>
      </c>
      <c r="C1" s="101"/>
      <c r="D1" s="101"/>
      <c r="E1" s="101"/>
      <c r="F1" s="101"/>
      <c r="G1" s="101"/>
      <c r="H1" s="101"/>
      <c r="I1" s="101"/>
      <c r="J1" s="195" t="n">
        <v>8252.1</v>
      </c>
      <c r="K1" s="195"/>
      <c r="L1" s="195"/>
      <c r="M1" s="195"/>
      <c r="N1" s="101"/>
      <c r="O1" s="103"/>
      <c r="P1" s="103"/>
      <c r="Q1" s="103"/>
      <c r="R1" s="103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3"/>
      <c r="AH1" s="103"/>
      <c r="AI1" s="103"/>
      <c r="AJ1" s="103"/>
      <c r="AK1" s="103"/>
    </row>
    <row r="2" customFormat="false" ht="11.45" hidden="false" customHeight="false" outlineLevel="0" collapsed="false">
      <c r="A2" s="101"/>
      <c r="B2" s="101"/>
      <c r="C2" s="103"/>
      <c r="D2" s="101"/>
      <c r="E2" s="101"/>
      <c r="F2" s="101"/>
      <c r="G2" s="101"/>
      <c r="H2" s="101"/>
      <c r="I2" s="101"/>
      <c r="J2" s="101"/>
      <c r="K2" s="196" t="s">
        <v>237</v>
      </c>
      <c r="L2" s="197" t="s">
        <v>238</v>
      </c>
      <c r="M2" s="101"/>
      <c r="N2" s="102"/>
      <c r="O2" s="103"/>
      <c r="P2" s="103"/>
      <c r="Q2" s="103"/>
      <c r="R2" s="103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3"/>
      <c r="AH2" s="103"/>
      <c r="AI2" s="103"/>
      <c r="AJ2" s="103"/>
      <c r="AK2" s="103"/>
    </row>
    <row r="3" customFormat="false" ht="11.45" hidden="false" customHeight="false" outlineLevel="0" collapsed="false">
      <c r="A3" s="101"/>
      <c r="B3" s="101"/>
      <c r="C3" s="103"/>
      <c r="D3" s="101"/>
      <c r="E3" s="101"/>
      <c r="F3" s="101"/>
      <c r="G3" s="101"/>
      <c r="H3" s="101"/>
      <c r="I3" s="101"/>
      <c r="J3" s="101"/>
      <c r="K3" s="198" t="n">
        <v>7</v>
      </c>
      <c r="L3" s="198" t="n">
        <v>21</v>
      </c>
      <c r="M3" s="101"/>
      <c r="N3" s="101"/>
      <c r="O3" s="103"/>
      <c r="P3" s="103"/>
      <c r="Q3" s="103"/>
      <c r="R3" s="103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3"/>
      <c r="AH3" s="103"/>
      <c r="AI3" s="103"/>
      <c r="AJ3" s="103"/>
      <c r="AK3" s="103"/>
    </row>
    <row r="4" customFormat="false" ht="22.35" hidden="false" customHeight="false" outlineLevel="0" collapsed="false">
      <c r="A4" s="101"/>
      <c r="B4" s="101"/>
      <c r="C4" s="103"/>
      <c r="D4" s="101"/>
      <c r="E4" s="101"/>
      <c r="F4" s="101"/>
      <c r="G4" s="101"/>
      <c r="H4" s="101"/>
      <c r="I4" s="101"/>
      <c r="J4" s="101"/>
      <c r="K4" s="101"/>
      <c r="L4" s="199"/>
      <c r="M4" s="101"/>
      <c r="N4" s="101"/>
      <c r="O4" s="103"/>
      <c r="P4" s="103"/>
      <c r="Q4" s="103"/>
      <c r="R4" s="103"/>
      <c r="S4" s="200" t="n">
        <v>45778</v>
      </c>
      <c r="T4" s="201" t="s">
        <v>380</v>
      </c>
      <c r="U4" s="200" t="n">
        <v>45748</v>
      </c>
      <c r="V4" s="200" t="n">
        <v>45717</v>
      </c>
      <c r="W4" s="200" t="n">
        <v>45689</v>
      </c>
      <c r="X4" s="200" t="n">
        <v>45658</v>
      </c>
      <c r="Y4" s="200" t="n">
        <v>45627</v>
      </c>
      <c r="Z4" s="200" t="n">
        <v>45597</v>
      </c>
      <c r="AA4" s="200" t="n">
        <v>45566</v>
      </c>
      <c r="AB4" s="200" t="n">
        <v>45536</v>
      </c>
      <c r="AC4" s="200" t="n">
        <v>45505</v>
      </c>
      <c r="AD4" s="200" t="n">
        <v>45474</v>
      </c>
      <c r="AE4" s="200" t="n">
        <v>45444</v>
      </c>
      <c r="AF4" s="200" t="n">
        <v>45413</v>
      </c>
      <c r="AG4" s="202" t="s">
        <v>239</v>
      </c>
      <c r="AH4" s="203" t="s">
        <v>240</v>
      </c>
      <c r="AI4" s="203" t="s">
        <v>241</v>
      </c>
      <c r="AJ4" s="204" t="s">
        <v>242</v>
      </c>
      <c r="AK4" s="204" t="s">
        <v>243</v>
      </c>
    </row>
    <row r="5" customFormat="false" ht="11.45" hidden="false" customHeight="false" outlineLevel="0" collapsed="false">
      <c r="A5" s="101"/>
      <c r="B5" s="101"/>
      <c r="C5" s="103"/>
      <c r="D5" s="101"/>
      <c r="E5" s="101"/>
      <c r="F5" s="101"/>
      <c r="G5" s="101"/>
      <c r="H5" s="101"/>
      <c r="I5" s="101"/>
      <c r="J5" s="101"/>
      <c r="K5" s="101"/>
      <c r="L5" s="102"/>
      <c r="M5" s="205" t="n">
        <v>2521</v>
      </c>
      <c r="N5" s="205" t="n">
        <v>0</v>
      </c>
      <c r="O5" s="205"/>
      <c r="P5" s="205"/>
      <c r="Q5" s="205"/>
      <c r="R5" s="206"/>
      <c r="S5" s="207" t="n">
        <v>189</v>
      </c>
      <c r="T5" s="207" t="n">
        <v>567</v>
      </c>
      <c r="U5" s="207" t="n">
        <v>367</v>
      </c>
      <c r="V5" s="207" t="n">
        <v>240</v>
      </c>
      <c r="W5" s="207" t="n">
        <v>522</v>
      </c>
      <c r="X5" s="207" t="n">
        <v>502</v>
      </c>
      <c r="Y5" s="207" t="n">
        <v>2294</v>
      </c>
      <c r="Z5" s="207" t="n">
        <v>1594</v>
      </c>
      <c r="AA5" s="207" t="n">
        <v>1433</v>
      </c>
      <c r="AB5" s="207" t="n">
        <v>1535</v>
      </c>
      <c r="AC5" s="207" t="n">
        <v>1295</v>
      </c>
      <c r="AD5" s="207" t="n">
        <v>335</v>
      </c>
      <c r="AE5" s="207" t="n">
        <v>324</v>
      </c>
      <c r="AF5" s="207" t="n">
        <v>612</v>
      </c>
      <c r="AG5" s="149" t="n">
        <v>424</v>
      </c>
      <c r="AH5" s="150" t="n">
        <v>766.510447852256</v>
      </c>
      <c r="AI5" s="151" t="n">
        <v>1.80780766002891</v>
      </c>
      <c r="AJ5" s="152" t="n">
        <v>5.94575471698113</v>
      </c>
      <c r="AK5" s="149" t="n">
        <v>178.372641509434</v>
      </c>
    </row>
    <row r="6" customFormat="false" ht="11.45" hidden="false" customHeight="false" outlineLevel="0" collapsed="false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2"/>
      <c r="M6" s="101"/>
      <c r="N6" s="101"/>
      <c r="O6" s="101"/>
      <c r="P6" s="101"/>
      <c r="Q6" s="101"/>
      <c r="R6" s="101"/>
      <c r="S6" s="205"/>
      <c r="T6" s="205"/>
      <c r="U6" s="208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103"/>
      <c r="AH6" s="103"/>
      <c r="AI6" s="103"/>
      <c r="AJ6" s="103"/>
      <c r="AK6" s="103"/>
    </row>
    <row r="7" customFormat="false" ht="43.25" hidden="false" customHeight="false" outlineLevel="0" collapsed="false">
      <c r="A7" s="209" t="s">
        <v>245</v>
      </c>
      <c r="B7" s="209" t="s">
        <v>65</v>
      </c>
      <c r="C7" s="209" t="s">
        <v>246</v>
      </c>
      <c r="D7" s="209" t="s">
        <v>247</v>
      </c>
      <c r="E7" s="209" t="s">
        <v>248</v>
      </c>
      <c r="F7" s="209"/>
      <c r="G7" s="209" t="s">
        <v>249</v>
      </c>
      <c r="H7" s="209" t="s">
        <v>250</v>
      </c>
      <c r="I7" s="210" t="s">
        <v>251</v>
      </c>
      <c r="J7" s="211" t="s">
        <v>252</v>
      </c>
      <c r="K7" s="212" t="s">
        <v>253</v>
      </c>
      <c r="L7" s="213" t="s">
        <v>254</v>
      </c>
      <c r="M7" s="214" t="s">
        <v>35</v>
      </c>
      <c r="N7" s="215" t="s">
        <v>381</v>
      </c>
      <c r="O7" s="216" t="s">
        <v>382</v>
      </c>
      <c r="P7" s="216" t="s">
        <v>383</v>
      </c>
      <c r="Q7" s="216" t="s">
        <v>384</v>
      </c>
      <c r="R7" s="216" t="s">
        <v>385</v>
      </c>
      <c r="S7" s="200" t="n">
        <v>45778</v>
      </c>
      <c r="T7" s="201" t="s">
        <v>380</v>
      </c>
      <c r="U7" s="200" t="n">
        <v>45748</v>
      </c>
      <c r="V7" s="200" t="n">
        <v>45717</v>
      </c>
      <c r="W7" s="200" t="n">
        <v>45689</v>
      </c>
      <c r="X7" s="200" t="n">
        <v>45658</v>
      </c>
      <c r="Y7" s="200" t="n">
        <v>45627</v>
      </c>
      <c r="Z7" s="200" t="n">
        <v>45597</v>
      </c>
      <c r="AA7" s="200" t="n">
        <v>45566</v>
      </c>
      <c r="AB7" s="200" t="n">
        <v>45536</v>
      </c>
      <c r="AC7" s="200" t="n">
        <v>45505</v>
      </c>
      <c r="AD7" s="200" t="n">
        <v>45474</v>
      </c>
      <c r="AE7" s="200" t="n">
        <v>45444</v>
      </c>
      <c r="AF7" s="200" t="n">
        <v>45413</v>
      </c>
      <c r="AG7" s="202" t="s">
        <v>239</v>
      </c>
      <c r="AH7" s="203" t="s">
        <v>240</v>
      </c>
      <c r="AI7" s="203" t="s">
        <v>241</v>
      </c>
      <c r="AJ7" s="204" t="s">
        <v>242</v>
      </c>
      <c r="AK7" s="204" t="s">
        <v>243</v>
      </c>
    </row>
    <row r="8" customFormat="false" ht="11.9" hidden="false" customHeight="false" outlineLevel="0" collapsed="false">
      <c r="A8" s="217" t="n">
        <v>31673</v>
      </c>
      <c r="B8" s="143" t="s">
        <v>261</v>
      </c>
      <c r="C8" s="143" t="s">
        <v>19</v>
      </c>
      <c r="D8" s="143" t="s">
        <v>262</v>
      </c>
      <c r="E8" s="143" t="s">
        <v>263</v>
      </c>
      <c r="F8" s="143"/>
      <c r="G8" s="143" t="s">
        <v>258</v>
      </c>
      <c r="H8" s="143" t="s">
        <v>259</v>
      </c>
      <c r="I8" s="144"/>
      <c r="J8" s="143" t="n">
        <v>12</v>
      </c>
      <c r="K8" s="145" t="n">
        <v>45653</v>
      </c>
      <c r="L8" s="146" t="n">
        <v>420</v>
      </c>
      <c r="M8" s="218" t="n">
        <v>357</v>
      </c>
      <c r="N8" s="144" t="n">
        <v>0</v>
      </c>
      <c r="O8" s="219" t="n">
        <v>9.66666666666667</v>
      </c>
      <c r="P8" s="219" t="s">
        <v>63</v>
      </c>
      <c r="Q8" s="219" t="n">
        <v>269</v>
      </c>
      <c r="R8" s="220" t="n">
        <v>0.0359355638166047</v>
      </c>
      <c r="S8" s="221" t="n">
        <v>6</v>
      </c>
      <c r="T8" s="222" t="n">
        <v>18</v>
      </c>
      <c r="U8" s="222" t="n">
        <v>7</v>
      </c>
      <c r="V8" s="222" t="n">
        <v>9</v>
      </c>
      <c r="W8" s="222" t="n">
        <v>8</v>
      </c>
      <c r="X8" s="222" t="n">
        <v>12</v>
      </c>
      <c r="Y8" s="222" t="n">
        <v>75</v>
      </c>
      <c r="Z8" s="222" t="n">
        <v>84</v>
      </c>
      <c r="AA8" s="222" t="n">
        <v>100</v>
      </c>
      <c r="AB8" s="222" t="n">
        <v>122</v>
      </c>
      <c r="AC8" s="222" t="n">
        <v>36</v>
      </c>
      <c r="AD8" s="222" t="n">
        <v>16</v>
      </c>
      <c r="AE8" s="222" t="n">
        <v>3</v>
      </c>
      <c r="AF8" s="222" t="n">
        <v>2</v>
      </c>
      <c r="AG8" s="149" t="n">
        <v>10.5</v>
      </c>
      <c r="AH8" s="150" t="n">
        <v>26.5084892062901</v>
      </c>
      <c r="AI8" s="151" t="n">
        <v>2.52461801964668</v>
      </c>
      <c r="AJ8" s="152" t="n">
        <v>34</v>
      </c>
      <c r="AK8" s="149" t="n">
        <v>1020</v>
      </c>
    </row>
    <row r="9" customFormat="false" ht="11.9" hidden="false" customHeight="false" outlineLevel="0" collapsed="false">
      <c r="A9" s="217" t="n">
        <v>32585</v>
      </c>
      <c r="B9" s="143" t="s">
        <v>264</v>
      </c>
      <c r="C9" s="143" t="s">
        <v>19</v>
      </c>
      <c r="D9" s="143" t="s">
        <v>257</v>
      </c>
      <c r="E9" s="143" t="n">
        <v>0</v>
      </c>
      <c r="F9" s="143"/>
      <c r="G9" s="143" t="s">
        <v>258</v>
      </c>
      <c r="H9" s="143" t="s">
        <v>259</v>
      </c>
      <c r="I9" s="144"/>
      <c r="J9" s="143" t="n">
        <v>60</v>
      </c>
      <c r="K9" s="145" t="n">
        <v>45653</v>
      </c>
      <c r="L9" s="146" t="n">
        <v>840</v>
      </c>
      <c r="M9" s="218" t="n">
        <v>346</v>
      </c>
      <c r="N9" s="144" t="n">
        <v>0</v>
      </c>
      <c r="O9" s="219" t="n">
        <v>204.666666666667</v>
      </c>
      <c r="P9" s="219" t="s">
        <v>63</v>
      </c>
      <c r="Q9" s="219" t="n">
        <v>1655.66666666667</v>
      </c>
      <c r="R9" s="220" t="n">
        <v>0.123615864707067</v>
      </c>
      <c r="S9" s="221" t="n">
        <v>122</v>
      </c>
      <c r="T9" s="222" t="n">
        <v>366</v>
      </c>
      <c r="U9" s="222" t="n">
        <v>234</v>
      </c>
      <c r="V9" s="222" t="n">
        <v>125</v>
      </c>
      <c r="W9" s="222" t="n">
        <v>222</v>
      </c>
      <c r="X9" s="222" t="n">
        <v>267</v>
      </c>
      <c r="Y9" s="222" t="n">
        <v>279</v>
      </c>
      <c r="Z9" s="222" t="n">
        <v>405</v>
      </c>
      <c r="AA9" s="222" t="n">
        <v>526</v>
      </c>
      <c r="AB9" s="222" t="n">
        <v>528</v>
      </c>
      <c r="AC9" s="222" t="n">
        <v>280</v>
      </c>
      <c r="AD9" s="222" t="n">
        <v>119</v>
      </c>
      <c r="AE9" s="222" t="n">
        <v>229</v>
      </c>
      <c r="AF9" s="222" t="n">
        <v>126</v>
      </c>
      <c r="AG9" s="149" t="n">
        <v>236.75</v>
      </c>
      <c r="AH9" s="150" t="n">
        <v>79.0478757884528</v>
      </c>
      <c r="AI9" s="151" t="n">
        <v>0.333887542929051</v>
      </c>
      <c r="AJ9" s="152" t="n">
        <v>1.46145723336853</v>
      </c>
      <c r="AK9" s="149" t="n">
        <v>43.843717001056</v>
      </c>
    </row>
    <row r="10" customFormat="false" ht="11.9" hidden="false" customHeight="false" outlineLevel="0" collapsed="false">
      <c r="A10" s="217" t="n">
        <v>31674</v>
      </c>
      <c r="B10" s="143" t="s">
        <v>255</v>
      </c>
      <c r="C10" s="143" t="s">
        <v>19</v>
      </c>
      <c r="D10" s="143" t="s">
        <v>257</v>
      </c>
      <c r="E10" s="143" t="n">
        <v>0</v>
      </c>
      <c r="F10" s="143"/>
      <c r="G10" s="143" t="s">
        <v>258</v>
      </c>
      <c r="H10" s="143" t="s">
        <v>259</v>
      </c>
      <c r="I10" s="144"/>
      <c r="J10" s="143" t="n">
        <v>60</v>
      </c>
      <c r="K10" s="145" t="n">
        <v>45653</v>
      </c>
      <c r="L10" s="146" t="n">
        <v>120</v>
      </c>
      <c r="M10" s="218" t="n">
        <v>180</v>
      </c>
      <c r="N10" s="144" t="n">
        <v>0</v>
      </c>
      <c r="O10" s="219" t="n">
        <v>49.3333333333333</v>
      </c>
      <c r="P10" s="219" t="s">
        <v>63</v>
      </c>
      <c r="Q10" s="219" t="n">
        <v>337.333333333333</v>
      </c>
      <c r="R10" s="220" t="n">
        <v>0.146245059288538</v>
      </c>
      <c r="S10" s="221" t="n">
        <v>0</v>
      </c>
      <c r="T10" s="222" t="n">
        <v>0</v>
      </c>
      <c r="U10" s="222" t="n">
        <v>0</v>
      </c>
      <c r="V10" s="222" t="n">
        <v>0</v>
      </c>
      <c r="W10" s="222" t="n">
        <v>0</v>
      </c>
      <c r="X10" s="222" t="n">
        <v>148</v>
      </c>
      <c r="Y10" s="222" t="n">
        <v>36</v>
      </c>
      <c r="Z10" s="222" t="n">
        <v>34</v>
      </c>
      <c r="AA10" s="222" t="n">
        <v>47</v>
      </c>
      <c r="AB10" s="222" t="n">
        <v>19</v>
      </c>
      <c r="AC10" s="222" t="n">
        <v>9</v>
      </c>
      <c r="AD10" s="222" t="n">
        <v>25</v>
      </c>
      <c r="AE10" s="222" t="n">
        <v>18</v>
      </c>
      <c r="AF10" s="222" t="n">
        <v>36</v>
      </c>
      <c r="AG10" s="149" t="n">
        <v>0</v>
      </c>
      <c r="AH10" s="150" t="n">
        <v>59.2576296072216</v>
      </c>
      <c r="AI10" s="151"/>
      <c r="AJ10" s="152" t="n">
        <v>0</v>
      </c>
      <c r="AK10" s="149" t="n">
        <v>0</v>
      </c>
    </row>
    <row r="11" customFormat="false" ht="11.9" hidden="false" customHeight="false" outlineLevel="0" collapsed="false">
      <c r="A11" s="217" t="n">
        <v>34589</v>
      </c>
      <c r="B11" s="143" t="s">
        <v>266</v>
      </c>
      <c r="C11" s="143" t="e">
        <f aca="false">#N/A</f>
        <v>#N/A</v>
      </c>
      <c r="D11" s="143" t="s">
        <v>267</v>
      </c>
      <c r="E11" s="143" t="n">
        <v>0</v>
      </c>
      <c r="F11" s="143"/>
      <c r="G11" s="143" t="s">
        <v>258</v>
      </c>
      <c r="H11" s="143" t="s">
        <v>259</v>
      </c>
      <c r="I11" s="144"/>
      <c r="J11" s="143" t="n">
        <v>60</v>
      </c>
      <c r="K11" s="145" t="n">
        <v>0</v>
      </c>
      <c r="L11" s="146" t="n">
        <v>0</v>
      </c>
      <c r="M11" s="218" t="n">
        <v>0</v>
      </c>
      <c r="N11" s="144" t="n">
        <v>0</v>
      </c>
      <c r="O11" s="219" t="n">
        <v>0</v>
      </c>
      <c r="P11" s="219" t="s">
        <v>194</v>
      </c>
      <c r="Q11" s="219"/>
      <c r="R11" s="220"/>
      <c r="S11" s="221" t="n">
        <v>0</v>
      </c>
      <c r="T11" s="222" t="n">
        <v>0</v>
      </c>
      <c r="U11" s="222" t="n">
        <v>0</v>
      </c>
      <c r="V11" s="222" t="n">
        <v>0</v>
      </c>
      <c r="W11" s="222" t="n">
        <v>0</v>
      </c>
      <c r="X11" s="222" t="n">
        <v>0</v>
      </c>
      <c r="Y11" s="222" t="n">
        <v>0</v>
      </c>
      <c r="Z11" s="222" t="n">
        <v>0</v>
      </c>
      <c r="AA11" s="222" t="n">
        <v>0</v>
      </c>
      <c r="AB11" s="222" t="n">
        <v>0</v>
      </c>
      <c r="AC11" s="222" t="n">
        <v>0</v>
      </c>
      <c r="AD11" s="222" t="n">
        <v>0</v>
      </c>
      <c r="AE11" s="222" t="n">
        <v>0</v>
      </c>
      <c r="AF11" s="222" t="n">
        <v>0</v>
      </c>
      <c r="AG11" s="149" t="n">
        <v>0</v>
      </c>
      <c r="AH11" s="150" t="n">
        <v>0</v>
      </c>
      <c r="AI11" s="151"/>
      <c r="AJ11" s="152" t="n">
        <v>0</v>
      </c>
      <c r="AK11" s="149" t="n">
        <v>0</v>
      </c>
    </row>
    <row r="12" customFormat="false" ht="11.9" hidden="false" customHeight="false" outlineLevel="0" collapsed="false">
      <c r="A12" s="217" t="n">
        <v>31676</v>
      </c>
      <c r="B12" s="143" t="s">
        <v>260</v>
      </c>
      <c r="C12" s="143" t="s">
        <v>19</v>
      </c>
      <c r="D12" s="143" t="s">
        <v>257</v>
      </c>
      <c r="E12" s="143" t="n">
        <v>0</v>
      </c>
      <c r="F12" s="143"/>
      <c r="G12" s="143" t="s">
        <v>258</v>
      </c>
      <c r="H12" s="143" t="s">
        <v>259</v>
      </c>
      <c r="I12" s="144"/>
      <c r="J12" s="143" t="n">
        <v>60</v>
      </c>
      <c r="K12" s="145" t="n">
        <v>45653</v>
      </c>
      <c r="L12" s="146" t="n">
        <v>2520</v>
      </c>
      <c r="M12" s="218" t="n">
        <v>1818</v>
      </c>
      <c r="N12" s="144" t="n">
        <v>0</v>
      </c>
      <c r="O12" s="219" t="n">
        <v>157.666666666667</v>
      </c>
      <c r="P12" s="219" t="s">
        <v>63</v>
      </c>
      <c r="Q12" s="219" t="n">
        <v>2026</v>
      </c>
      <c r="R12" s="220" t="n">
        <v>0.0778216518591642</v>
      </c>
      <c r="S12" s="221" t="n">
        <v>61</v>
      </c>
      <c r="T12" s="222" t="n">
        <v>183</v>
      </c>
      <c r="U12" s="222" t="n">
        <v>126</v>
      </c>
      <c r="V12" s="222" t="n">
        <v>106</v>
      </c>
      <c r="W12" s="222" t="n">
        <v>292</v>
      </c>
      <c r="X12" s="222" t="n">
        <v>75</v>
      </c>
      <c r="Y12" s="222" t="n">
        <v>1904</v>
      </c>
      <c r="Z12" s="222" t="n">
        <v>1071</v>
      </c>
      <c r="AA12" s="222" t="n">
        <v>760</v>
      </c>
      <c r="AB12" s="222" t="n">
        <v>695</v>
      </c>
      <c r="AC12" s="222" t="n">
        <v>896</v>
      </c>
      <c r="AD12" s="222" t="n">
        <v>156</v>
      </c>
      <c r="AE12" s="222" t="n">
        <v>70</v>
      </c>
      <c r="AF12" s="222" t="n">
        <v>438</v>
      </c>
      <c r="AG12" s="149" t="n">
        <v>176.75</v>
      </c>
      <c r="AH12" s="150" t="n">
        <v>717.533739044142</v>
      </c>
      <c r="AI12" s="151" t="n">
        <v>4.0595968262752</v>
      </c>
      <c r="AJ12" s="152" t="n">
        <v>10.2857142857143</v>
      </c>
      <c r="AK12" s="149" t="n">
        <v>308.571428571429</v>
      </c>
    </row>
    <row r="13" customFormat="false" ht="11.9" hidden="false" customHeight="false" outlineLevel="0" collapsed="false">
      <c r="A13" s="217" t="n">
        <v>31677</v>
      </c>
      <c r="B13" s="143" t="s">
        <v>265</v>
      </c>
      <c r="C13" s="143" t="s">
        <v>19</v>
      </c>
      <c r="D13" s="143" t="s">
        <v>257</v>
      </c>
      <c r="E13" s="143" t="n">
        <v>0</v>
      </c>
      <c r="F13" s="143"/>
      <c r="G13" s="143" t="s">
        <v>258</v>
      </c>
      <c r="H13" s="143" t="s">
        <v>259</v>
      </c>
      <c r="I13" s="144"/>
      <c r="J13" s="143" t="n">
        <v>60</v>
      </c>
      <c r="K13" s="145" t="n">
        <v>45525</v>
      </c>
      <c r="L13" s="146" t="n">
        <v>180</v>
      </c>
      <c r="M13" s="218" t="n">
        <v>0</v>
      </c>
      <c r="N13" s="144" t="n">
        <v>0</v>
      </c>
      <c r="O13" s="219" t="n">
        <v>0</v>
      </c>
      <c r="P13" s="219" t="s">
        <v>63</v>
      </c>
      <c r="Q13" s="219" t="n">
        <v>26.6666666666667</v>
      </c>
      <c r="R13" s="220" t="n">
        <v>0</v>
      </c>
      <c r="S13" s="221" t="n">
        <v>0</v>
      </c>
      <c r="T13" s="222" t="n">
        <v>0</v>
      </c>
      <c r="U13" s="222" t="n">
        <v>0</v>
      </c>
      <c r="V13" s="222" t="n">
        <v>0</v>
      </c>
      <c r="W13" s="222" t="n">
        <v>0</v>
      </c>
      <c r="X13" s="222" t="n">
        <v>0</v>
      </c>
      <c r="Y13" s="222" t="n">
        <v>0</v>
      </c>
      <c r="Z13" s="222" t="n">
        <v>0</v>
      </c>
      <c r="AA13" s="222" t="n">
        <v>0</v>
      </c>
      <c r="AB13" s="222" t="n">
        <v>171</v>
      </c>
      <c r="AC13" s="222" t="n">
        <v>74</v>
      </c>
      <c r="AD13" s="222" t="n">
        <v>19</v>
      </c>
      <c r="AE13" s="222" t="n">
        <v>4</v>
      </c>
      <c r="AF13" s="222" t="n">
        <v>10</v>
      </c>
      <c r="AG13" s="149" t="n">
        <v>0</v>
      </c>
      <c r="AH13" s="150" t="n">
        <v>0</v>
      </c>
      <c r="AI13" s="151"/>
      <c r="AJ13" s="152" t="n">
        <v>0</v>
      </c>
      <c r="AK13" s="149" t="n">
        <v>0</v>
      </c>
    </row>
    <row r="14" customFormat="false" ht="11.45" hidden="false" customHeight="false" outlineLevel="0" collapsed="false">
      <c r="A14" s="217"/>
      <c r="B14" s="143"/>
      <c r="C14" s="143"/>
      <c r="D14" s="143"/>
      <c r="E14" s="143"/>
      <c r="F14" s="143"/>
      <c r="G14" s="143"/>
      <c r="H14" s="143"/>
      <c r="I14" s="144"/>
      <c r="J14" s="143"/>
      <c r="K14" s="145"/>
      <c r="L14" s="146"/>
      <c r="M14" s="144"/>
      <c r="N14" s="144"/>
      <c r="O14" s="219"/>
      <c r="P14" s="219" t="s">
        <v>194</v>
      </c>
      <c r="Q14" s="219"/>
      <c r="R14" s="220"/>
      <c r="S14" s="221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149" t="n">
        <v>0</v>
      </c>
      <c r="AH14" s="150"/>
      <c r="AI14" s="151"/>
      <c r="AJ14" s="152"/>
      <c r="AK14" s="149"/>
    </row>
  </sheetData>
  <mergeCells count="1">
    <mergeCell ref="J1:M1"/>
  </mergeCells>
  <conditionalFormatting sqref="N7:N14">
    <cfRule type="cellIs" priority="2" operator="greaterThan" aboveAverage="0" equalAverage="0" bottom="0" percent="0" rank="0" text="" dxfId="14">
      <formula>0</formula>
    </cfRule>
  </conditionalFormatting>
  <conditionalFormatting sqref="B8:M14">
    <cfRule type="expression" priority="3" aboveAverage="0" equalAverage="0" bottom="0" percent="0" rank="0" text="" dxfId="15">
      <formula>#ref!=vd</formula>
    </cfRule>
  </conditionalFormatting>
  <conditionalFormatting sqref="K8:K14">
    <cfRule type="cellIs" priority="4" operator="lessThan" aboveAverage="0" equalAverage="0" bottom="0" percent="0" rank="0" text="" dxfId="16">
      <formula>$D$1-120</formula>
    </cfRule>
  </conditionalFormatting>
  <conditionalFormatting sqref="T8:AF14">
    <cfRule type="colorScale" priority="5">
      <colorScale>
        <cfvo type="min" val="0"/>
        <cfvo type="percentile" val="50"/>
        <cfvo type="max" val="0"/>
        <color rgb="FFF8696B"/>
        <color rgb="FFFCFCFF"/>
        <color rgb="FF5A8AC6"/>
      </colorScale>
    </cfRule>
    <cfRule type="colorScale" priority="6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ReportBuilder</dc:creator>
  <dc:description/>
  <dc:language>en-US</dc:language>
  <cp:lastModifiedBy/>
  <cp:lastPrinted>2025-05-28T00:00:00Z</cp:lastPrinted>
  <dcterms:modified xsi:type="dcterms:W3CDTF">2025-11-03T16:10:06Z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